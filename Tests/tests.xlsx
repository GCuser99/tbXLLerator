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74F51E1A-425D-42CB-B31E-99629C0BFABD}" xr6:coauthVersionLast="47" xr6:coauthVersionMax="47" xr10:uidLastSave="{00000000-0000-0000-0000-000000000000}"/>
  <bookViews>
    <workbookView xWindow="2298" yWindow="132" windowWidth="16818" windowHeight="13284" xr2:uid="{00000000-000D-0000-FFFF-FFFF00000000}"/>
  </bookViews>
  <sheets>
    <sheet name="udf tests" sheetId="1" r:id="rId1"/>
    <sheet name="Sheet2" sheetId="2" r:id="rId2"/>
  </sheets>
  <definedNames>
    <definedName name="testNamedRange" localSheetId="0">'udf tests'!$C$32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1" l="1" a="1"/>
  <c r="B36" i="1" s="1"/>
  <c r="B35" i="1" a="1"/>
  <c r="B35" i="1" s="1"/>
  <c r="B5" i="1" a="1"/>
  <c r="B5" i="1" s="1"/>
  <c r="B34" i="1" a="1"/>
  <c r="B34" i="1" s="1"/>
  <c r="B13" i="1" a="1"/>
  <c r="B13" i="1" s="1"/>
  <c r="B37" i="1" a="1"/>
  <c r="B37" i="1" s="1"/>
  <c r="B6" i="1" a="1"/>
  <c r="B6" i="1" s="1"/>
  <c r="B38" i="1" a="1"/>
  <c r="B38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6" i="1" a="1"/>
  <c r="B26" i="1" s="1"/>
  <c r="B25" i="1" a="1"/>
  <c r="B25" i="1" s="1"/>
  <c r="B23" i="1" a="1"/>
  <c r="B23" i="1" s="1"/>
  <c r="B22" i="1" a="1"/>
  <c r="B22" i="1" s="1"/>
  <c r="B21" i="1" a="1"/>
  <c r="B21" i="1" s="1"/>
  <c r="B20" i="1" a="1"/>
  <c r="B20" i="1" s="1"/>
  <c r="B19" i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4" i="1" a="1"/>
  <c r="B4" i="1" s="1"/>
  <c r="B3" i="1" a="1"/>
  <c r="B3" i="1" s="1"/>
  <c r="B2" i="1" a="1"/>
  <c r="B2" i="1" s="1"/>
  <c r="B43" i="1" a="1"/>
  <c r="B43" i="1" s="1"/>
  <c r="B45" i="1" a="1"/>
  <c r="B45" i="1" s="1"/>
  <c r="B27" i="1" a="1"/>
  <c r="B27" i="1" s="1"/>
  <c r="B49" i="1" a="1"/>
  <c r="B49" i="1" s="1"/>
  <c r="B48" i="1" a="1"/>
  <c r="B48" i="1" s="1"/>
  <c r="B28" i="1" a="1"/>
  <c r="B28" i="1" s="1"/>
  <c r="B47" i="1" a="1"/>
  <c r="B47" i="1" s="1"/>
  <c r="B46" i="1" a="1"/>
  <c r="B46" i="1" s="1"/>
  <c r="B39" i="1" a="1"/>
  <c r="B40" i="1" s="1"/>
  <c r="B42" i="1" a="1"/>
  <c r="A35" i="1"/>
  <c r="B44" i="1" a="1"/>
  <c r="A40" i="1"/>
  <c r="A48" i="1"/>
  <c r="A38" i="1"/>
  <c r="A43" i="1"/>
  <c r="B24" i="1" a="1"/>
  <c r="A47" i="1"/>
  <c r="A34" i="1"/>
  <c r="A36" i="1"/>
  <c r="A44" i="1"/>
  <c r="A42" i="1"/>
  <c r="A41" i="1"/>
  <c r="A45" i="1"/>
  <c r="A39" i="1"/>
  <c r="A37" i="1"/>
  <c r="A46" i="1"/>
  <c r="A49" i="1"/>
  <c r="A32" i="1"/>
  <c r="A5" i="1"/>
  <c r="B24" i="1" l="1"/>
  <c r="B44" i="1"/>
  <c r="B39" i="1"/>
  <c r="B41" i="1"/>
  <c r="B42" i="1"/>
  <c r="C42" i="1"/>
  <c r="D42" i="1"/>
  <c r="E42" i="1"/>
  <c r="A25" i="1"/>
  <c r="A10" i="1"/>
  <c r="A17" i="1"/>
  <c r="A3" i="1"/>
  <c r="A21" i="1"/>
  <c r="A8" i="1"/>
  <c r="A24" i="1"/>
  <c r="A7" i="1"/>
  <c r="A4" i="1"/>
  <c r="A31" i="1"/>
  <c r="A30" i="1"/>
  <c r="A6" i="1"/>
  <c r="A28" i="1"/>
  <c r="A27" i="1"/>
  <c r="A20" i="1"/>
  <c r="A18" i="1"/>
  <c r="A13" i="1"/>
  <c r="A26" i="1"/>
  <c r="A15" i="1"/>
  <c r="A2" i="1"/>
  <c r="A16" i="1"/>
  <c r="A33" i="1"/>
  <c r="A12" i="1"/>
  <c r="A11" i="1"/>
  <c r="A19" i="1"/>
  <c r="A22" i="1"/>
  <c r="A9" i="1"/>
  <c r="A29" i="1"/>
  <c r="A14" i="1"/>
  <c r="A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<sst xmlns="http://schemas.openxmlformats.org/spreadsheetml/2006/main" count="9" uniqueCount="9">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</sst>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0" fillId="0" borderId="6" xfId="0" applyBorder="1"/>
    <xf numFmtId="166" fontId="0" fillId="0" borderId="6" xfId="0" applyNumberFormat="1" applyBorder="1"/>
    <xf numFmtId="0" fontId="0" fillId="0" borderId="9" xfId="0" applyBorder="1"/>
    <xf numFmtId="2" fontId="0" fillId="0" borderId="1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9"/>
  <sheetViews>
    <sheetView tabSelected="1" workbookViewId="0">
      <pane ySplit="1" topLeftCell="A2" activePane="bottomLeft" state="frozen"/>
      <selection pane="bottomLeft" activeCell="A46" sqref="A46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7" t="s">
        <v>8</v>
      </c>
      <c r="D1" s="18"/>
      <c r="E1" s="18"/>
      <c r="F1" s="18"/>
      <c r="G1" s="18"/>
      <c r="H1" s="19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9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=TBXLL_Multiply(Sheet2!D5,Sheet2!E5)</v>
      </c>
      <c r="B5" s="3" cm="1">
        <f t="array" ref="B5">_xll.TBXLL_Multiply(Sheet2!D5,Sheet2!E5)</f>
        <v>20</v>
      </c>
      <c r="C5" s="6"/>
      <c r="H5" s="7"/>
    </row>
    <row r="6" spans="1:8" x14ac:dyDescent="0.55000000000000004">
      <c r="A6" s="3" t="str">
        <f t="shared" ca="1" si="0"/>
        <v>=TBXLL_AddOptional(1,2)</v>
      </c>
      <c r="B6" s="3" cm="1">
        <f t="array" ref="B6">_xll.TBXLL_AddOptional(1,2)</f>
        <v>3</v>
      </c>
      <c r="C6" s="6"/>
      <c r="H6" s="7"/>
    </row>
    <row r="7" spans="1:8" x14ac:dyDescent="0.55000000000000004">
      <c r="A7" s="3" t="str">
        <f t="shared" ca="1" si="0"/>
        <v>=TBXLL_AddOptional(1,2,3)</v>
      </c>
      <c r="B7" s="3" cm="1">
        <f t="array" ref="B7">_xll.TBXLL_AddOptional(1,2,3)</f>
        <v>6</v>
      </c>
      <c r="C7" s="6"/>
      <c r="H7" s="7"/>
    </row>
    <row r="8" spans="1:8" x14ac:dyDescent="0.55000000000000004">
      <c r="A8" s="3" t="str">
        <f t="shared" ca="1" si="0"/>
        <v>=TBXLL_AlwaysDiv0()</v>
      </c>
      <c r="B8" s="3" t="e" cm="1">
        <f t="array" ref="B8">_xll.TBXLL_AlwaysDiv0()</f>
        <v>#DIV/0!</v>
      </c>
      <c r="C8" s="6"/>
      <c r="H8" s="7"/>
    </row>
    <row r="9" spans="1:8" x14ac:dyDescent="0.55000000000000004">
      <c r="A9" s="3" t="str">
        <f ca="1">_xlfn.FORMULATEXT(B9)</f>
        <v>=TBXLL_Divide(10,0)</v>
      </c>
      <c r="B9" s="3" t="e" cm="1">
        <f t="array" ref="B9">_xll.TBXLL_Divide(10,0)</f>
        <v>#DIV/0!</v>
      </c>
      <c r="C9" s="6"/>
      <c r="H9" s="7"/>
    </row>
    <row r="10" spans="1:8" x14ac:dyDescent="0.55000000000000004">
      <c r="A10" s="3" t="str">
        <f ca="1">_xlfn.FORMULATEXT(B10)</f>
        <v>=TBXLL_FailAfterSum({1,2,3})</v>
      </c>
      <c r="B10" s="3" t="e" cm="1">
        <f t="array" ref="B10">_xll.TBXLL_FailAfterSum({1,2,3})</f>
        <v>#VALUE!</v>
      </c>
      <c r="C10" s="6"/>
      <c r="H10" s="7"/>
    </row>
    <row r="11" spans="1:8" x14ac:dyDescent="0.55000000000000004">
      <c r="A11" s="3" t="str">
        <f ca="1">_xlfn.FORMULATEXT(B11)</f>
        <v>=TBXLL_NotFound()</v>
      </c>
      <c r="B11" s="3" t="e" cm="1">
        <f t="array" ref="B11">_xll.TBXLL_NotFound()</f>
        <v>#N/A</v>
      </c>
      <c r="C11" s="6"/>
      <c r="H11" s="7"/>
    </row>
    <row r="12" spans="1:8" x14ac:dyDescent="0.55000000000000004">
      <c r="A12" s="3" t="str">
        <f ca="1">_xlfn.FORMULATEXT(B12)</f>
        <v>=TBXLL_SqrtChecked(-1)</v>
      </c>
      <c r="B12" s="3" t="e" cm="1">
        <f t="array" ref="B12">_xll.TBXLL_SqrtChecked(-1)</f>
        <v>#NUM!</v>
      </c>
      <c r="C12" s="6"/>
      <c r="H12" s="7"/>
    </row>
    <row r="13" spans="1:8" x14ac:dyDescent="0.55000000000000004">
      <c r="A13" s="3" t="str">
        <f ca="1">_xlfn.FORMULATEXT(B13)</f>
        <v>=TBXLL_TextOnly(25)</v>
      </c>
      <c r="B13" s="3" t="e" cm="1">
        <f t="array" ref="B13">_xll.TBXLL_TextOnly(25)</f>
        <v>#VALUE!</v>
      </c>
      <c r="C13" s="6"/>
      <c r="H13" s="7"/>
    </row>
    <row r="14" spans="1:8" x14ac:dyDescent="0.55000000000000004">
      <c r="A14" s="3" t="str">
        <f t="shared" ca="1" si="0"/>
        <v>=TBXLL_Average({1,2,3})</v>
      </c>
      <c r="B14" s="3" cm="1">
        <f t="array" ref="B14">_xll.TBXLL_Average({1,2,3})</f>
        <v>2</v>
      </c>
      <c r="C14" s="6"/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20</v>
      </c>
      <c r="C15" s="6"/>
      <c r="D15" t="b">
        <v>1</v>
      </c>
      <c r="H15" s="7"/>
    </row>
    <row r="16" spans="1:8" x14ac:dyDescent="0.55000000000000004">
      <c r="A16" s="3" t="str">
        <f t="shared" ca="1" si="0"/>
        <v>=TBXLL_ConditionalAdd(10,D16,"result")</v>
      </c>
      <c r="B16" s="3" t="str" cm="1">
        <f t="array" ref="B16">_xll.TBXLL_ConditionalAdd(10,D16,"result")</f>
        <v>result: 10</v>
      </c>
      <c r="C16" s="6"/>
      <c r="D16" t="b">
        <v>0</v>
      </c>
      <c r="H16" s="7"/>
    </row>
    <row r="17" spans="1:9" x14ac:dyDescent="0.55000000000000004">
      <c r="A17" s="3" t="str">
        <f t="shared" ca="1" si="0"/>
        <v>=TBXLL_CountIf(D17:F17,"&gt;=3")</v>
      </c>
      <c r="B17" s="3" cm="1">
        <f t="array" ref="B17">_xll.TBXLL_CountIf(D17:F17,"&gt;=3")</f>
        <v>2</v>
      </c>
      <c r="C17" s="6"/>
      <c r="D17">
        <v>2</v>
      </c>
      <c r="E17">
        <v>3</v>
      </c>
      <c r="F17">
        <v>4</v>
      </c>
      <c r="H17" s="7"/>
    </row>
    <row r="18" spans="1:9" x14ac:dyDescent="0.55000000000000004">
      <c r="A18" s="3" t="str">
        <f t="shared" ca="1" si="0"/>
        <v>=TBXLL_Now()</v>
      </c>
      <c r="B18" s="4" cm="1">
        <f t="array" aca="1" ref="B18" ca="1">_xll.TBXLL_Now()</f>
        <v>46079.646808796293</v>
      </c>
      <c r="C18" s="12"/>
      <c r="H18" s="7"/>
      <c r="I18" s="1"/>
    </row>
    <row r="19" spans="1:9" x14ac:dyDescent="0.55000000000000004">
      <c r="A19" s="3" t="str">
        <f t="shared" ca="1" si="0"/>
        <v>=NOW()</v>
      </c>
      <c r="B19" s="4">
        <f ca="1">NOW()</f>
        <v>46079.646808796293</v>
      </c>
      <c r="C19" s="6"/>
      <c r="H19" s="7"/>
    </row>
    <row r="20" spans="1:9" x14ac:dyDescent="0.55000000000000004">
      <c r="A20" s="3" t="str">
        <f ca="1">_xlfn.FORMULATEXT(B20)</f>
        <v>=TBXLL_SqrtChecked(9)</v>
      </c>
      <c r="B20" s="3" cm="1">
        <f t="array" ref="B20">_xll.TBXLL_SqrtChecked(9)</f>
        <v>3</v>
      </c>
      <c r="C20" s="6"/>
      <c r="H20" s="7"/>
    </row>
    <row r="21" spans="1:9" x14ac:dyDescent="0.55000000000000004">
      <c r="A21" s="3" t="str">
        <f ca="1">_xlfn.FORMULATEXT(B21)</f>
        <v>=TBXLL_TextOnly("25")</v>
      </c>
      <c r="B21" s="3" t="str" cm="1">
        <f t="array" ref="B21">_xll.TBXLL_TextOnly("25")</f>
        <v>OK: 25</v>
      </c>
      <c r="C21" s="6"/>
      <c r="H21" s="7"/>
    </row>
    <row r="22" spans="1:9" x14ac:dyDescent="0.55000000000000004">
      <c r="A22" s="3" t="str">
        <f ca="1">_xlfn.FORMULATEXT(B22)</f>
        <v>=TBXLL_Transpose({1;2;3})</v>
      </c>
      <c r="B22" s="3" cm="1">
        <f t="array" ref="B22:D22">_xll.TBXLL_Transpose({1;2;3})</f>
        <v>1</v>
      </c>
      <c r="C22" s="6">
        <v>2</v>
      </c>
      <c r="D22">
        <v>3</v>
      </c>
      <c r="H22" s="7"/>
    </row>
    <row r="23" spans="1:9" x14ac:dyDescent="0.55000000000000004">
      <c r="A23" s="3" t="str">
        <f t="shared" ref="A23:A31" ca="1" si="1">_xlfn.FORMULATEXT(B23)</f>
        <v>=TBXLL_Upper("mike")</v>
      </c>
      <c r="B23" s="3" t="str" cm="1">
        <f t="array" ref="B23">_xll.TBXLL_Upper("mike")</f>
        <v>MIKE</v>
      </c>
      <c r="C23" s="6"/>
      <c r="H23" s="7"/>
    </row>
    <row r="24" spans="1:9" x14ac:dyDescent="0.55000000000000004">
      <c r="A24" s="3" t="str">
        <f t="shared" ca="1" si="1"/>
        <v>=TBXLL_RecalcCounter()</v>
      </c>
      <c r="B24" s="3" cm="1">
        <f t="array" aca="1" ref="B24" ca="1">_xll.TBXLL_RecalcCounter()</f>
        <v>8</v>
      </c>
      <c r="C24" s="6"/>
      <c r="H24" s="7"/>
    </row>
    <row r="25" spans="1:9" x14ac:dyDescent="0.55000000000000004">
      <c r="A25" s="3" t="str">
        <f t="shared" ca="1" si="1"/>
        <v>=TBXLL_SumArray({1,2,3})</v>
      </c>
      <c r="B25" s="3" cm="1">
        <f t="array" ref="B25">_xll.TBXLL_SumArray({1,2,3})</f>
        <v>6</v>
      </c>
      <c r="C25" s="6"/>
      <c r="H25" s="7"/>
    </row>
    <row r="26" spans="1:9" x14ac:dyDescent="0.55000000000000004">
      <c r="A26" s="3" t="str">
        <f t="shared" ca="1" si="1"/>
        <v>=TBXLL_SumArray2({1,2,3})</v>
      </c>
      <c r="B26" s="3" cm="1">
        <f t="array" ref="B26">_xll.TBXLL_SumArray2({1,2,3})</f>
        <v>6</v>
      </c>
      <c r="C26" s="6"/>
      <c r="H26" s="7"/>
    </row>
    <row r="27" spans="1:9" x14ac:dyDescent="0.55000000000000004">
      <c r="A27" s="3" t="str">
        <f t="shared" ca="1" si="1"/>
        <v>{=TBXLL_Join(D27:F28,TRUE)}</v>
      </c>
      <c r="B27" s="3" t="str">
        <f t="array" ref="B27">_xll.TBXLL_Join(D27:F28,TRUE)</f>
        <v>rc11,rc21,rc12,rc22,rc13,rc23</v>
      </c>
      <c r="C27" s="6"/>
      <c r="D27" t="s">
        <v>0</v>
      </c>
      <c r="E27" t="s">
        <v>1</v>
      </c>
      <c r="F27" t="s">
        <v>2</v>
      </c>
      <c r="H27" s="7"/>
    </row>
    <row r="28" spans="1:9" x14ac:dyDescent="0.55000000000000004">
      <c r="A28" s="3" t="str">
        <f t="shared" ca="1" si="1"/>
        <v>=TBXLL_Join(D27:F28,FALSE)</v>
      </c>
      <c r="B28" s="3" t="str" cm="1">
        <f t="array" ref="B28">_xll.TBXLL_Join(D27:F28,FALSE)</f>
        <v>rc11,rc12,rc13,rc21,rc22,rc23</v>
      </c>
      <c r="C28" s="6"/>
      <c r="D28" t="s">
        <v>3</v>
      </c>
      <c r="E28" t="s">
        <v>4</v>
      </c>
      <c r="F28" t="s">
        <v>5</v>
      </c>
      <c r="H28" s="7"/>
    </row>
    <row r="29" spans="1:9" x14ac:dyDescent="0.55000000000000004">
      <c r="A29" s="3" t="str">
        <f t="shared" ca="1" si="1"/>
        <v>=TBXLL_Join({11,12,13;21,22,23},TRUE)</v>
      </c>
      <c r="B29" s="3" t="str" cm="1">
        <f t="array" ref="B29">_xll.TBXLL_Join({11,12,13;21,22,23},TRUE)</f>
        <v>11,21,12,22,13,23</v>
      </c>
      <c r="C29" s="6"/>
      <c r="H29" s="7"/>
    </row>
    <row r="30" spans="1:9" x14ac:dyDescent="0.55000000000000004">
      <c r="A30" s="3" t="str">
        <f t="shared" ca="1" si="1"/>
        <v>=TBXLL_Join({11,12,13;21,22,23},FALSE)</v>
      </c>
      <c r="B30" s="3" t="str" cm="1">
        <f t="array" ref="B30">_xll.TBXLL_Join({11,12,13;21,22,23},FALSE)</f>
        <v>11,12,13,21,22,23</v>
      </c>
      <c r="C30" s="6"/>
      <c r="H30" s="7"/>
    </row>
    <row r="31" spans="1:9" x14ac:dyDescent="0.55000000000000004">
      <c r="A31" s="3" t="str">
        <f t="shared" ca="1" si="1"/>
        <v>=TBXLL_Join({11,12,13;21,22,23})</v>
      </c>
      <c r="B31" s="3" t="str" cm="1">
        <f t="array" ref="B31">_xll.TBXLL_Join({11,12,13;21,22,23})</f>
        <v>11,12,13,21,22,23</v>
      </c>
      <c r="C31" s="6"/>
      <c r="H31" s="7"/>
    </row>
    <row r="32" spans="1:9" x14ac:dyDescent="0.55000000000000004">
      <c r="A32" s="3" t="str">
        <f t="shared" ref="A32:A41" ca="1" si="2">_xlfn.FORMULATEXT(B32)</f>
        <v>=TBXLL_CellValue(testNamedRange)</v>
      </c>
      <c r="B32" s="3" t="b" cm="1">
        <f t="array" ref="B32">_xll.TBXLL_CellValue(testNamedRange)</f>
        <v>1</v>
      </c>
      <c r="C32" s="6" t="b">
        <v>1</v>
      </c>
      <c r="H32" s="7"/>
    </row>
    <row r="33" spans="1:8" x14ac:dyDescent="0.55000000000000004">
      <c r="A33" s="3" t="str">
        <f t="shared" ca="1" si="2"/>
        <v>=TBXLL_CellValue(C33)</v>
      </c>
      <c r="B33" s="3" cm="1">
        <f t="array" ref="B33">_xll.TBXLL_CellValue(C33)</f>
        <v>99</v>
      </c>
      <c r="C33" s="6">
        <v>99</v>
      </c>
      <c r="H33" s="7"/>
    </row>
    <row r="34" spans="1:8" x14ac:dyDescent="0.55000000000000004">
      <c r="A34" s="3" t="str">
        <f t="shared" ca="1" si="2"/>
        <v>=TBXLL_SheetName(D34)</v>
      </c>
      <c r="B34" s="3" t="str" cm="1">
        <f t="array" ref="B34">_xll.TBXLL_SheetName(D34)</f>
        <v>[tests.xlsx]Sheet1</v>
      </c>
      <c r="C34" s="6"/>
      <c r="H34" s="7"/>
    </row>
    <row r="35" spans="1:8" x14ac:dyDescent="0.55000000000000004">
      <c r="A35" s="3" t="str">
        <f ca="1">_xlfn.FORMULATEXT(B35)</f>
        <v>=TBXLL_CellAddress(B11)</v>
      </c>
      <c r="B35" s="13" t="str" cm="1">
        <f t="array" ref="B35">_xll.TBXLL_CellAddress(B11)</f>
        <v>$B$11</v>
      </c>
      <c r="C35" s="6"/>
      <c r="H35" s="7"/>
    </row>
    <row r="36" spans="1:8" x14ac:dyDescent="0.55000000000000004">
      <c r="A36" s="3" t="str">
        <f ca="1">_xlfn.FORMULATEXT(B36)</f>
        <v>=TBXLL_CellAddress(Sheet2!B11)</v>
      </c>
      <c r="B36" s="13" t="str" cm="1">
        <f t="array" ref="B36">_xll.TBXLL_CellAddress(Sheet2!B11)</f>
        <v>$B$11</v>
      </c>
      <c r="C36" s="6"/>
      <c r="H36" s="7"/>
    </row>
    <row r="37" spans="1:8" x14ac:dyDescent="0.55000000000000004">
      <c r="A37" s="3" t="str">
        <f t="shared" ca="1" si="2"/>
        <v>=TBXLL_IsEmptyCell(C37)</v>
      </c>
      <c r="B37" s="3" t="b" cm="1">
        <f t="array" ref="B37">_xll.TBXLL_IsEmptyCell(C37)</f>
        <v>1</v>
      </c>
      <c r="C37" s="6"/>
      <c r="H37" s="7"/>
    </row>
    <row r="38" spans="1:8" x14ac:dyDescent="0.55000000000000004">
      <c r="A38" s="3" t="str">
        <f t="shared" ca="1" si="2"/>
        <v>=TBXLL_TestMissing(3.6)</v>
      </c>
      <c r="B38" s="3" cm="1">
        <f t="array" ref="B38">_xll.TBXLL_TestMissing(3.6)</f>
        <v>4</v>
      </c>
      <c r="C38" s="6"/>
      <c r="H38" s="7"/>
    </row>
    <row r="39" spans="1:8" x14ac:dyDescent="0.55000000000000004">
      <c r="A39" s="3" t="str">
        <f t="shared" ca="1" si="2"/>
        <v>{=TBXLL_MultiplyArrays(D39:D41,E39:E41)}</v>
      </c>
      <c r="B39" s="3">
        <f t="array" ref="B39:B41">_xll.TBXLL_MultiplyArrays(D39:D41,E39:E41)</f>
        <v>2</v>
      </c>
      <c r="C39" s="6"/>
      <c r="D39">
        <v>1</v>
      </c>
      <c r="E39">
        <v>2</v>
      </c>
      <c r="H39" s="7"/>
    </row>
    <row r="40" spans="1:8" x14ac:dyDescent="0.55000000000000004">
      <c r="A40" s="3" t="str">
        <f t="shared" ca="1" si="2"/>
        <v>{=TBXLL_MultiplyArrays(D39:D41,E39:E41)}</v>
      </c>
      <c r="B40" s="3">
        <v>20</v>
      </c>
      <c r="C40" s="6"/>
      <c r="D40">
        <v>4</v>
      </c>
      <c r="E40">
        <v>5</v>
      </c>
      <c r="H40" s="7"/>
    </row>
    <row r="41" spans="1:8" x14ac:dyDescent="0.55000000000000004">
      <c r="A41" s="3" t="str">
        <f t="shared" ca="1" si="2"/>
        <v>{=TBXLL_MultiplyArrays(D39:D41,E39:E41)}</v>
      </c>
      <c r="B41" s="3">
        <v>4</v>
      </c>
      <c r="C41" s="6"/>
      <c r="D41">
        <v>2</v>
      </c>
      <c r="E41">
        <v>2</v>
      </c>
      <c r="H41" s="7"/>
    </row>
    <row r="42" spans="1:8" x14ac:dyDescent="0.55000000000000004">
      <c r="A42" s="3" t="str">
        <f t="shared" ref="A42:A49" ca="1" si="3">_xlfn.FORMULATEXT(B42)</f>
        <v>{=TBXLL_NormalizeArray({4,9,16,25})}</v>
      </c>
      <c r="B42" s="5">
        <f t="array" ref="B42:E42">_xll.TBXLL_NormalizeArray({4,9,16,25})</f>
        <v>7.407407407407407E-2</v>
      </c>
      <c r="C42" s="8">
        <v>0.16666666666666666</v>
      </c>
      <c r="D42" s="9">
        <v>0.29629629629629628</v>
      </c>
      <c r="E42" s="9">
        <v>0.46296296296296297</v>
      </c>
      <c r="H42" s="7"/>
    </row>
    <row r="43" spans="1:8" x14ac:dyDescent="0.55000000000000004">
      <c r="A43" s="3" t="str">
        <f t="shared" ca="1" si="3"/>
        <v>=TBXLL_SpeedSafe(100)</v>
      </c>
      <c r="B43" s="3" cm="1">
        <f t="array" ref="B43">_xll.TBXLL_SpeedSafe(100)</f>
        <v>66671645.919710793</v>
      </c>
      <c r="C43" s="6"/>
      <c r="H43" s="7"/>
    </row>
    <row r="44" spans="1:8" x14ac:dyDescent="0.55000000000000004">
      <c r="A44" s="3" t="str">
        <f t="shared" ca="1" si="3"/>
        <v>=TBXLL_SpeedUnsafe(100)</v>
      </c>
      <c r="B44" s="3" cm="1">
        <f t="array" ref="B44">_xll.TBXLL_SpeedUnsafe(100)</f>
        <v>66671645.919710793</v>
      </c>
      <c r="C44" s="6"/>
      <c r="H44" s="7"/>
    </row>
    <row r="45" spans="1:8" x14ac:dyDescent="0.55000000000000004">
      <c r="A45" s="3" t="str">
        <f t="shared" ref="A45" ca="1" si="4">_xlfn.FORMULATEXT(B45)</f>
        <v>=TBXLL_Timestamp()</v>
      </c>
      <c r="B45" s="16" cm="1">
        <f t="array" aca="1" ref="B45" ca="1">_xll.TBXLL_Timestamp()</f>
        <v>98273.729908699999</v>
      </c>
      <c r="C45" s="6"/>
      <c r="H45" s="7"/>
    </row>
    <row r="46" spans="1:8" x14ac:dyDescent="0.55000000000000004">
      <c r="A46" s="3" t="str">
        <f t="shared" ca="1" si="3"/>
        <v>=TBXLL_NumberName(9)</v>
      </c>
      <c r="B46" s="3" t="str" cm="1">
        <f t="array" ref="B46">_xll.TBXLL_NumberName(9)</f>
        <v>Nine</v>
      </c>
      <c r="C46" s="6"/>
      <c r="H46" s="7"/>
    </row>
    <row r="47" spans="1:8" x14ac:dyDescent="0.55000000000000004">
      <c r="A47" s="3" t="str">
        <f t="shared" ca="1" si="3"/>
        <v>=TBXLL_RomanNumeral(9)</v>
      </c>
      <c r="B47" s="3" t="str" cm="1">
        <f t="array" ref="B47">_xll.TBXLL_RomanNumeral(9)</f>
        <v>IX</v>
      </c>
      <c r="H47" s="7"/>
    </row>
    <row r="48" spans="1:8" x14ac:dyDescent="0.55000000000000004">
      <c r="A48" s="3" t="str">
        <f t="shared" ca="1" si="3"/>
        <v>=TBXLL_AddDays(NOW(),7)</v>
      </c>
      <c r="B48" s="14" cm="1">
        <f t="array" aca="1" ref="B48" ca="1">_xll.TBXLL_AddDays(NOW(),7)</f>
        <v>46086.646808796293</v>
      </c>
      <c r="C48" s="6"/>
      <c r="H48" s="7"/>
    </row>
    <row r="49" spans="1:8" x14ac:dyDescent="0.55000000000000004">
      <c r="A49" s="3" t="str">
        <f t="shared" ca="1" si="3"/>
        <v>=TBXLL_FormatArray({1,2,3},"item")</v>
      </c>
      <c r="B49" s="13" t="str" cm="1">
        <f t="array" ref="B49:D49">_xll.TBXLL_FormatArray({1,2,3},"item")</f>
        <v>item_1</v>
      </c>
      <c r="C49" s="15" t="str">
        <v>item_2</v>
      </c>
      <c r="D49" s="10" t="str">
        <v>item_3</v>
      </c>
      <c r="E49" s="10"/>
      <c r="F49" s="10"/>
      <c r="G49" s="10"/>
      <c r="H49" s="11"/>
    </row>
  </sheetData>
  <mergeCells count="1">
    <mergeCell ref="C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973F-FAC2-42BC-8E9A-C340D5BF91FB}">
  <dimension ref="D5:E5"/>
  <sheetViews>
    <sheetView workbookViewId="0">
      <selection activeCell="D5" sqref="D5:E5"/>
    </sheetView>
  </sheetViews>
  <sheetFormatPr defaultRowHeight="14.4" x14ac:dyDescent="0.55000000000000004"/>
  <sheetData>
    <row r="5" spans="4:5" x14ac:dyDescent="0.55000000000000004">
      <c r="D5">
        <v>10</v>
      </c>
      <c r="E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udf tests</vt:lpstr>
      <vt:lpstr>Sheet2</vt:lpstr>
      <vt:lpstr>'udf tests'!testNamedRange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2026-02-26T22:31:35Z</dcterms:modified>
</cp:coreProperties>
</file>