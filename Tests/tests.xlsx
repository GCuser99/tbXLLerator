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F1A2D1F-EF9A-4A3E-B022-401C2E729EDD}" xr6:coauthVersionLast="47" xr6:coauthVersionMax="47" xr10:uidLastSave="{00000000-0000-0000-0000-000000000000}"/>
  <bookViews>
    <workbookView xWindow="2694" yWindow="396" windowWidth="16818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 a="1"/>
  <c r="B37" i="1" s="1"/>
  <c r="B36" i="1" a="1"/>
  <c r="B36" i="1"/>
  <c r="B35" i="1" a="1"/>
  <c r="B35" i="1" s="1"/>
  <c r="B39" i="1" a="1"/>
  <c r="B39" i="1" s="1"/>
  <c r="B5" i="1" a="1"/>
  <c r="B5" i="1" s="1"/>
  <c r="B34" i="1" a="1"/>
  <c r="B34" i="1" s="1"/>
  <c r="B13" i="1" a="1"/>
  <c r="B13" i="1" s="1"/>
  <c r="B38" i="1" a="1"/>
  <c r="B38" i="1" s="1"/>
  <c r="B6" i="1" a="1"/>
  <c r="B6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6" i="1" a="1"/>
  <c r="B26" i="1" s="1"/>
  <c r="B25" i="1" a="1"/>
  <c r="B25" i="1" s="1"/>
  <c r="B23" i="1" a="1"/>
  <c r="B23" i="1" s="1"/>
  <c r="B22" i="1" a="1"/>
  <c r="B22" i="1" s="1"/>
  <c r="B21" i="1" a="1"/>
  <c r="B21" i="1" s="1"/>
  <c r="B20" i="1" a="1"/>
  <c r="B20" i="1" s="1"/>
  <c r="B19" i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4" i="1" a="1"/>
  <c r="B4" i="1" s="1"/>
  <c r="B3" i="1" a="1"/>
  <c r="B3" i="1" s="1"/>
  <c r="B2" i="1" a="1"/>
  <c r="B2" i="1" s="1"/>
  <c r="B44" i="1" a="1"/>
  <c r="B44" i="1" s="1"/>
  <c r="B46" i="1" a="1"/>
  <c r="B46" i="1" s="1"/>
  <c r="B27" i="1" a="1"/>
  <c r="B27" i="1" s="1"/>
  <c r="B50" i="1" a="1"/>
  <c r="B50" i="1" s="1"/>
  <c r="B49" i="1" a="1"/>
  <c r="B49" i="1" s="1"/>
  <c r="B28" i="1" a="1"/>
  <c r="B28" i="1" s="1"/>
  <c r="B48" i="1" a="1"/>
  <c r="B48" i="1" s="1"/>
  <c r="B47" i="1" a="1"/>
  <c r="B47" i="1" s="1"/>
  <c r="B40" i="1" a="1"/>
  <c r="B41" i="1" s="1"/>
  <c r="B43" i="1" a="1"/>
  <c r="B45" i="1" a="1"/>
  <c r="A32" i="1"/>
  <c r="A47" i="1"/>
  <c r="A43" i="1"/>
  <c r="A37" i="1"/>
  <c r="A49" i="1"/>
  <c r="A45" i="1"/>
  <c r="A34" i="1"/>
  <c r="A50" i="1"/>
  <c r="A36" i="1"/>
  <c r="A41" i="1"/>
  <c r="A46" i="1"/>
  <c r="B24" i="1" a="1"/>
  <c r="A42" i="1"/>
  <c r="A40" i="1"/>
  <c r="A38" i="1"/>
  <c r="A44" i="1"/>
  <c r="A5" i="1"/>
  <c r="A48" i="1"/>
  <c r="A35" i="1"/>
  <c r="A39" i="1"/>
  <c r="B24" i="1" l="1"/>
  <c r="B45" i="1"/>
  <c r="B40" i="1"/>
  <c r="B42" i="1"/>
  <c r="B43" i="1"/>
  <c r="C43" i="1"/>
  <c r="D43" i="1"/>
  <c r="E43" i="1"/>
  <c r="A8" i="1"/>
  <c r="A24" i="1"/>
  <c r="A15" i="1"/>
  <c r="A11" i="1"/>
  <c r="A17" i="1"/>
  <c r="A9" i="1"/>
  <c r="A18" i="1"/>
  <c r="A29" i="1"/>
  <c r="A26" i="1"/>
  <c r="A4" i="1"/>
  <c r="A33" i="1"/>
  <c r="A20" i="1"/>
  <c r="A10" i="1"/>
  <c r="A12" i="1"/>
  <c r="A27" i="1"/>
  <c r="A31" i="1"/>
  <c r="A14" i="1"/>
  <c r="A3" i="1"/>
  <c r="A21" i="1"/>
  <c r="A28" i="1"/>
  <c r="A7" i="1"/>
  <c r="A25" i="1"/>
  <c r="A6" i="1"/>
  <c r="A2" i="1"/>
  <c r="A16" i="1"/>
  <c r="A30" i="1"/>
  <c r="A23" i="1"/>
  <c r="A22" i="1"/>
  <c r="A13" i="1"/>
  <c r="A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<sst xmlns="http://schemas.openxmlformats.org/spreadsheetml/2006/main" count="9" uniqueCount="9">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</sst>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3"/>
  <sheetViews>
    <sheetView tabSelected="1" workbookViewId="0">
      <pane ySplit="1" topLeftCell="A26" activePane="bottomLeft" state="frozen"/>
      <selection pane="bottomLeft" activeCell="B44" sqref="B44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9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=TBXLL_AddOptional(1,2)</v>
      </c>
      <c r="B6" s="3" cm="1">
        <f t="array" ref="B6">_xll.TBXLL_AddOptional(1,2)</f>
        <v>3</v>
      </c>
      <c r="C6" s="6"/>
      <c r="H6" s="7"/>
    </row>
    <row r="7" spans="1:8" x14ac:dyDescent="0.55000000000000004">
      <c r="A7" s="3" t="str">
        <f t="shared" ca="1" si="0"/>
        <v>=TBXLL_AddOptional(1,2,3)</v>
      </c>
      <c r="B7" s="3" cm="1">
        <f t="array" ref="B7">_xll.TBXLL_AddOptional(1,2,3)</f>
        <v>6</v>
      </c>
      <c r="C7" s="6"/>
      <c r="H7" s="7"/>
    </row>
    <row r="8" spans="1:8" x14ac:dyDescent="0.55000000000000004">
      <c r="A8" s="3" t="str">
        <f t="shared" ca="1" si="0"/>
        <v>=TBXLL_AlwaysDiv0()</v>
      </c>
      <c r="B8" s="3" t="e" cm="1">
        <f t="array" ref="B8">_xll.TBXLL_AlwaysDiv0()</f>
        <v>#DIV/0!</v>
      </c>
      <c r="C8" s="6"/>
      <c r="H8" s="7"/>
    </row>
    <row r="9" spans="1:8" x14ac:dyDescent="0.55000000000000004">
      <c r="A9" s="3" t="str">
        <f ca="1">_xlfn.FORMULATEXT(B9)</f>
        <v>=TBXLL_Divide(10,0)</v>
      </c>
      <c r="B9" s="3" t="e" cm="1">
        <f t="array" ref="B9">_xll.TBXLL_Divide(10,0)</f>
        <v>#DIV/0!</v>
      </c>
      <c r="C9" s="6"/>
      <c r="H9" s="7"/>
    </row>
    <row r="10" spans="1:8" x14ac:dyDescent="0.55000000000000004">
      <c r="A10" s="3" t="str">
        <f ca="1">_xlfn.FORMULATEXT(B10)</f>
        <v>=TBXLL_FailAfterSum({1,2,3})</v>
      </c>
      <c r="B10" s="3" t="e" cm="1">
        <f t="array" ref="B10">_xll.TBXLL_FailAfterSum({1,2,3})</f>
        <v>#VALUE!</v>
      </c>
      <c r="C10" s="6"/>
      <c r="H10" s="7"/>
    </row>
    <row r="11" spans="1:8" x14ac:dyDescent="0.55000000000000004">
      <c r="A11" s="3" t="str">
        <f ca="1">_xlfn.FORMULATEXT(B11)</f>
        <v>=TBXLL_NotFound()</v>
      </c>
      <c r="B11" s="3" t="e" cm="1">
        <f t="array" ref="B11">_xll.TBXLL_NotFound()</f>
        <v>#N/A</v>
      </c>
      <c r="C11" s="6"/>
      <c r="H11" s="7"/>
    </row>
    <row r="12" spans="1:8" x14ac:dyDescent="0.55000000000000004">
      <c r="A12" s="3" t="str">
        <f ca="1">_xlfn.FORMULATEXT(B12)</f>
        <v>=TBXLL_SqrtChecked(-1)</v>
      </c>
      <c r="B12" s="3" t="e" cm="1">
        <f t="array" ref="B12">_xll.TBXLL_SqrtChecked(-1)</f>
        <v>#NUM!</v>
      </c>
      <c r="C12" s="6"/>
      <c r="H12" s="7"/>
    </row>
    <row r="13" spans="1:8" x14ac:dyDescent="0.55000000000000004">
      <c r="A13" s="3" t="str">
        <f ca="1">_xlfn.FORMULATEXT(B13)</f>
        <v>=TBXLL_TextOnly(25)</v>
      </c>
      <c r="B13" s="3" t="e" cm="1">
        <f t="array" ref="B13">_xll.TBXLL_TextOnly(25)</f>
        <v>#VALUE!</v>
      </c>
      <c r="C13" s="6"/>
      <c r="H13" s="7"/>
    </row>
    <row r="14" spans="1:8" x14ac:dyDescent="0.55000000000000004">
      <c r="A14" s="3" t="str">
        <f t="shared" ca="1" si="0"/>
        <v>=TBXLL_Average({1,2,3})</v>
      </c>
      <c r="B14" s="3" cm="1">
        <f t="array" ref="B14">_xll.TBXLL_Average({1,2,3})</f>
        <v>2</v>
      </c>
      <c r="C14" s="6"/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20</v>
      </c>
      <c r="C15" s="6"/>
      <c r="D15" t="b">
        <v>1</v>
      </c>
      <c r="H15" s="7"/>
    </row>
    <row r="16" spans="1:8" x14ac:dyDescent="0.55000000000000004">
      <c r="A16" s="3" t="str">
        <f t="shared" ca="1" si="0"/>
        <v>=TBXLL_ConditionalAdd(10,D16,"result")</v>
      </c>
      <c r="B16" s="3" t="str" cm="1">
        <f t="array" ref="B16">_xll.TBXLL_ConditionalAdd(10,D16,"result")</f>
        <v>result: 10</v>
      </c>
      <c r="C16" s="6"/>
      <c r="D16" t="b">
        <v>0</v>
      </c>
      <c r="H16" s="7"/>
    </row>
    <row r="17" spans="1:9" x14ac:dyDescent="0.55000000000000004">
      <c r="A17" s="3" t="str">
        <f t="shared" ca="1" si="0"/>
        <v>=TBXLL_CountIf(D17:F17,"&gt;=3")</v>
      </c>
      <c r="B17" s="3" cm="1">
        <f t="array" ref="B17">_xll.TBXLL_CountIf(D17:F17,"&gt;=3")</f>
        <v>2</v>
      </c>
      <c r="C17" s="6"/>
      <c r="D17">
        <v>2</v>
      </c>
      <c r="E17">
        <v>3</v>
      </c>
      <c r="F17">
        <v>4</v>
      </c>
      <c r="H17" s="7"/>
    </row>
    <row r="18" spans="1:9" x14ac:dyDescent="0.55000000000000004">
      <c r="A18" s="3" t="str">
        <f t="shared" ca="1" si="0"/>
        <v>=TBXLL_Now()</v>
      </c>
      <c r="B18" s="4" cm="1">
        <f t="array" aca="1" ref="B18" ca="1">_xll.TBXLL_Now()</f>
        <v>46079.69277303241</v>
      </c>
      <c r="C18" s="12"/>
      <c r="H18" s="7"/>
      <c r="I18" s="1"/>
    </row>
    <row r="19" spans="1:9" x14ac:dyDescent="0.55000000000000004">
      <c r="A19" s="3" t="str">
        <f t="shared" ca="1" si="0"/>
        <v>=NOW()</v>
      </c>
      <c r="B19" s="4">
        <f ca="1">NOW()</f>
        <v>46079.69277303241</v>
      </c>
      <c r="C19" s="6"/>
      <c r="H19" s="7"/>
    </row>
    <row r="20" spans="1:9" x14ac:dyDescent="0.55000000000000004">
      <c r="A20" s="3" t="str">
        <f ca="1">_xlfn.FORMULATEXT(B20)</f>
        <v>=TBXLL_SqrtChecked(9)</v>
      </c>
      <c r="B20" s="3" cm="1">
        <f t="array" ref="B20">_xll.TBXLL_SqrtChecked(9)</f>
        <v>3</v>
      </c>
      <c r="C20" s="6"/>
      <c r="H20" s="7"/>
    </row>
    <row r="21" spans="1:9" x14ac:dyDescent="0.55000000000000004">
      <c r="A21" s="3" t="str">
        <f ca="1">_xlfn.FORMULATEXT(B21)</f>
        <v>=TBXLL_TextOnly("25")</v>
      </c>
      <c r="B21" s="3" t="str" cm="1">
        <f t="array" ref="B21">_xll.TBXLL_TextOnly("25")</f>
        <v>OK: 25</v>
      </c>
      <c r="C21" s="6"/>
      <c r="H21" s="7"/>
    </row>
    <row r="22" spans="1:9" x14ac:dyDescent="0.55000000000000004">
      <c r="A22" s="3" t="str">
        <f ca="1">_xlfn.FORMULATEXT(B22)</f>
        <v>=TBXLL_Transpose({1;2;3})</v>
      </c>
      <c r="B22" s="3" cm="1">
        <f t="array" ref="B22:D22">_xll.TBXLL_Transpose({1;2;3})</f>
        <v>1</v>
      </c>
      <c r="C22" s="6">
        <v>2</v>
      </c>
      <c r="D22">
        <v>3</v>
      </c>
      <c r="H22" s="7"/>
    </row>
    <row r="23" spans="1:9" x14ac:dyDescent="0.55000000000000004">
      <c r="A23" s="3" t="str">
        <f t="shared" ref="A23:A31" ca="1" si="1">_xlfn.FORMULATEXT(B23)</f>
        <v>=TBXLL_Upper("mike")</v>
      </c>
      <c r="B23" s="3" t="str" cm="1">
        <f t="array" ref="B23">_xll.TBXLL_Upper("mike")</f>
        <v>MIKE</v>
      </c>
      <c r="C23" s="6"/>
      <c r="H23" s="7"/>
    </row>
    <row r="24" spans="1:9" x14ac:dyDescent="0.55000000000000004">
      <c r="A24" s="3" t="str">
        <f t="shared" ca="1" si="1"/>
        <v>=TBXLL_RecalcCounter()</v>
      </c>
      <c r="B24" s="3" cm="1">
        <f t="array" aca="1" ref="B24" ca="1">_xll.TBXLL_RecalcCounter()</f>
        <v>4</v>
      </c>
      <c r="C24" s="6"/>
      <c r="H24" s="7"/>
    </row>
    <row r="25" spans="1:9" x14ac:dyDescent="0.55000000000000004">
      <c r="A25" s="3" t="str">
        <f t="shared" ca="1" si="1"/>
        <v>=TBXLL_SumArray({1,2,3})</v>
      </c>
      <c r="B25" s="3" cm="1">
        <f t="array" ref="B25">_xll.TBXLL_SumArray({1,2,3})</f>
        <v>6</v>
      </c>
      <c r="C25" s="6"/>
      <c r="H25" s="7"/>
    </row>
    <row r="26" spans="1:9" x14ac:dyDescent="0.55000000000000004">
      <c r="A26" s="3" t="str">
        <f t="shared" ca="1" si="1"/>
        <v>=TBXLL_SumArray2({1,2,3})</v>
      </c>
      <c r="B26" s="3" cm="1">
        <f t="array" ref="B26">_xll.TBXLL_SumArray2({1,2,3})</f>
        <v>6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42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[tests.xlsx]udf tests</v>
      </c>
      <c r="C34" s="6"/>
      <c r="H34" s="7"/>
    </row>
    <row r="35" spans="1:8" x14ac:dyDescent="0.55000000000000004">
      <c r="A35" s="3" t="str">
        <f ca="1">_xlfn.FORMULATEXT(B35)</f>
        <v>=TBXLL_CellAddress(C35)</v>
      </c>
      <c r="B35" s="13" t="str" cm="1">
        <f t="array" ref="B35">_xll.TBXLL_CellAddress(C35)</f>
        <v>$C$35</v>
      </c>
      <c r="C35" s="6"/>
      <c r="H35" s="7"/>
    </row>
    <row r="36" spans="1:8" x14ac:dyDescent="0.55000000000000004">
      <c r="A36" s="3" t="str">
        <f ca="1">_xlfn.FORMULATEXT(B36)</f>
        <v>=TBXLL_CellAddress(Sheet2!C35)</v>
      </c>
      <c r="B36" s="13" t="str" cm="1">
        <f t="array" ref="B36">_xll.TBXLL_CellAddress(Sheet2!C35)</f>
        <v>$C$35</v>
      </c>
      <c r="C36" s="6"/>
      <c r="H36" s="7"/>
    </row>
    <row r="37" spans="1:8" x14ac:dyDescent="0.55000000000000004">
      <c r="A37" s="3" t="str">
        <f ca="1">_xlfn.FORMULATEXT(B37)</f>
        <v>=TBXLL_CellAddress_Hidden(C35)</v>
      </c>
      <c r="B37" s="13" t="str" cm="1">
        <f t="array" ref="B37">_xll.TBXLL_CellAddress_Hidden(C35)</f>
        <v>$C$35</v>
      </c>
      <c r="C37" s="6"/>
      <c r="H37" s="7"/>
    </row>
    <row r="38" spans="1:8" x14ac:dyDescent="0.55000000000000004">
      <c r="A38" s="3" t="str">
        <f t="shared" ca="1" si="2"/>
        <v>=TBXLL_IsEmptyCell(C38)</v>
      </c>
      <c r="B38" s="3" t="b" cm="1">
        <f t="array" ref="B38">_xll.TBXLL_IsEmptyCell(C38)</f>
        <v>1</v>
      </c>
      <c r="C38" s="6"/>
      <c r="H38" s="7"/>
    </row>
    <row r="39" spans="1:8" x14ac:dyDescent="0.55000000000000004">
      <c r="A39" s="3" t="str">
        <f t="shared" ca="1" si="2"/>
        <v>=TBXLL_TestMissing(3.6)</v>
      </c>
      <c r="B39" s="3" cm="1">
        <f t="array" ref="B39">_xll.TBXLL_TestMissing(3.6)</f>
        <v>4</v>
      </c>
      <c r="C39" s="6"/>
      <c r="H39" s="7"/>
    </row>
    <row r="40" spans="1:8" x14ac:dyDescent="0.55000000000000004">
      <c r="A40" s="3" t="str">
        <f t="shared" ca="1" si="2"/>
        <v>{=TBXLL_MultiplyArrays(D40:D42,E40:E42)}</v>
      </c>
      <c r="B40" s="3">
        <f t="array" ref="B40:B42">_xll.TBXLL_MultiplyArrays(D40:D42,E40:E42)</f>
        <v>2</v>
      </c>
      <c r="C40" s="6"/>
      <c r="D40">
        <v>1</v>
      </c>
      <c r="E40">
        <v>2</v>
      </c>
      <c r="H40" s="7"/>
    </row>
    <row r="41" spans="1:8" x14ac:dyDescent="0.55000000000000004">
      <c r="A41" s="3" t="str">
        <f t="shared" ca="1" si="2"/>
        <v>{=TBXLL_MultiplyArrays(D40:D42,E40:E42)}</v>
      </c>
      <c r="B41" s="3">
        <v>20</v>
      </c>
      <c r="C41" s="6"/>
      <c r="D41">
        <v>4</v>
      </c>
      <c r="E41">
        <v>5</v>
      </c>
      <c r="H41" s="7"/>
    </row>
    <row r="42" spans="1:8" x14ac:dyDescent="0.55000000000000004">
      <c r="A42" s="3" t="str">
        <f t="shared" ca="1" si="2"/>
        <v>{=TBXLL_MultiplyArrays(D40:D42,E40:E42)}</v>
      </c>
      <c r="B42" s="3">
        <v>4</v>
      </c>
      <c r="C42" s="6"/>
      <c r="D42">
        <v>2</v>
      </c>
      <c r="E42">
        <v>2</v>
      </c>
      <c r="H42" s="7"/>
    </row>
    <row r="43" spans="1:8" x14ac:dyDescent="0.55000000000000004">
      <c r="A43" s="3" t="str">
        <f t="shared" ref="A43:A50" ca="1" si="3">_xlfn.FORMULATEXT(B43)</f>
        <v>{=TBXLL_NormalizeArray({4,9,16,25})}</v>
      </c>
      <c r="B43" s="5">
        <f t="array" ref="B43:E43">_xll.TBXLL_NormalizeArray({4,9,16,25})</f>
        <v>7.407407407407407E-2</v>
      </c>
      <c r="C43" s="8">
        <v>0.16666666666666666</v>
      </c>
      <c r="D43" s="9">
        <v>0.29629629629629628</v>
      </c>
      <c r="E43" s="9">
        <v>0.46296296296296297</v>
      </c>
      <c r="H43" s="7"/>
    </row>
    <row r="44" spans="1:8" x14ac:dyDescent="0.55000000000000004">
      <c r="A44" s="3" t="str">
        <f t="shared" ca="1" si="3"/>
        <v>=TBXLL_SpeedSafe(100)</v>
      </c>
      <c r="B44" s="3" cm="1">
        <f t="array" ref="B44">_xll.TBXLL_SpeedSafe(100)</f>
        <v>66671645.919710793</v>
      </c>
      <c r="C44" s="6"/>
      <c r="H44" s="7"/>
    </row>
    <row r="45" spans="1:8" x14ac:dyDescent="0.55000000000000004">
      <c r="A45" s="3" t="str">
        <f t="shared" ca="1" si="3"/>
        <v>=TBXLL_SpeedUnsafe(100)</v>
      </c>
      <c r="B45" s="3" cm="1">
        <f t="array" ref="B45">_xll.TBXLL_SpeedUnsafe(100)</f>
        <v>66671645.919710793</v>
      </c>
      <c r="C45" s="6"/>
      <c r="H45" s="7"/>
    </row>
    <row r="46" spans="1:8" x14ac:dyDescent="0.55000000000000004">
      <c r="A46" s="3" t="str">
        <f t="shared" ref="A46" ca="1" si="4">_xlfn.FORMULATEXT(B46)</f>
        <v>=TBXLL_Timestamp()</v>
      </c>
      <c r="B46" s="16" cm="1">
        <f t="array" aca="1" ref="B46" ca="1">_xll.TBXLL_Timestamp()</f>
        <v>102245.04100680001</v>
      </c>
      <c r="C46" s="6"/>
      <c r="H46" s="7"/>
    </row>
    <row r="47" spans="1:8" x14ac:dyDescent="0.55000000000000004">
      <c r="A47" s="3" t="str">
        <f t="shared" ca="1" si="3"/>
        <v>=TBXLL_NumberName(9)</v>
      </c>
      <c r="B47" s="3" t="str" cm="1">
        <f t="array" ref="B47">_xll.TBXLL_NumberName(9)</f>
        <v>Nine</v>
      </c>
      <c r="C47" s="6"/>
      <c r="H47" s="7"/>
    </row>
    <row r="48" spans="1:8" x14ac:dyDescent="0.55000000000000004">
      <c r="A48" s="3" t="str">
        <f t="shared" ca="1" si="3"/>
        <v>=TBXLL_RomanNumeral(9)</v>
      </c>
      <c r="B48" s="3" t="str" cm="1">
        <f t="array" ref="B48">_xll.TBXLL_RomanNumeral(9)</f>
        <v>IX</v>
      </c>
      <c r="H48" s="7"/>
    </row>
    <row r="49" spans="1:8" x14ac:dyDescent="0.55000000000000004">
      <c r="A49" s="3" t="str">
        <f t="shared" ca="1" si="3"/>
        <v>=TBXLL_AddDays(NOW(),7)</v>
      </c>
      <c r="B49" s="14" cm="1">
        <f t="array" aca="1" ref="B49" ca="1">_xll.TBXLL_AddDays(NOW(),7)</f>
        <v>46086.69277303241</v>
      </c>
      <c r="C49" s="6"/>
      <c r="H49" s="7"/>
    </row>
    <row r="50" spans="1:8" x14ac:dyDescent="0.55000000000000004">
      <c r="A50" s="3" t="str">
        <f t="shared" ca="1" si="3"/>
        <v>=TBXLL_FormatArray({1,2,3},"item")</v>
      </c>
      <c r="B50" s="13" t="str" cm="1">
        <f t="array" ref="B50:D50">_xll.TBXLL_FormatArray({1,2,3},"item")</f>
        <v>item_1</v>
      </c>
      <c r="C50" s="15" t="str">
        <v>item_2</v>
      </c>
      <c r="D50" s="10" t="str">
        <v>item_3</v>
      </c>
      <c r="E50" s="10"/>
      <c r="F50" s="10"/>
      <c r="G50" s="10"/>
      <c r="H50" s="11"/>
    </row>
    <row r="53" spans="1:8" x14ac:dyDescent="0.55000000000000004">
      <c r="B53" s="13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2026-02-26T23:37:39Z</dcterms:modified>
</cp:coreProperties>
</file>