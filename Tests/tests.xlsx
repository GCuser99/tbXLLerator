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94B2132F-DB37-4FBF-869D-265E11159995}" xr6:coauthVersionLast="47" xr6:coauthVersionMax="47" xr10:uidLastSave="{00000000-0000-0000-0000-000000000000}"/>
  <bookViews>
    <workbookView xWindow="1464" yWindow="396" windowWidth="16974" windowHeight="13284" xr2:uid="{00000000-000D-0000-FFFF-FFFF00000000}"/>
  </bookViews>
  <sheets>
    <sheet name="udf tests" sheetId="1" r:id="rId1"/>
    <sheet name="Sheet2" sheetId="2" r:id="rId2"/>
  </sheets>
  <definedNames>
    <definedName name="testNamedRange" localSheetId="0">'udf tests'!$C$35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 a="1"/>
  <c r="B3" i="1" s="1"/>
  <c r="B6" i="1" a="1"/>
  <c r="B6" i="1" s="1"/>
  <c r="B8" i="1" a="1"/>
  <c r="B8" i="1"/>
  <c r="B7" i="1" a="1"/>
  <c r="B7" i="1" s="1"/>
  <c r="B21" i="1" a="1"/>
  <c r="B21" i="1" s="1"/>
  <c r="B14" i="1" a="1"/>
  <c r="B14" i="1" s="1"/>
  <c r="B2" i="1" a="1"/>
  <c r="B2" i="1" s="1"/>
  <c r="B40" i="1" a="1"/>
  <c r="B40" i="1" s="1"/>
  <c r="B52" i="1" a="1"/>
  <c r="B52" i="1" s="1"/>
  <c r="B25" i="1" a="1"/>
  <c r="B25" i="1" s="1"/>
  <c r="B29" i="1" a="1"/>
  <c r="B29" i="1" s="1"/>
  <c r="B24" i="1" a="1"/>
  <c r="B24" i="1" s="1"/>
  <c r="B39" i="1" a="1"/>
  <c r="B39" i="1" s="1"/>
  <c r="B38" i="1" a="1"/>
  <c r="B38" i="1" s="1"/>
  <c r="B42" i="1" a="1"/>
  <c r="B42" i="1" s="1"/>
  <c r="B5" i="1" a="1"/>
  <c r="B5" i="1" s="1"/>
  <c r="B37" i="1" a="1"/>
  <c r="B37" i="1" s="1"/>
  <c r="B16" i="1" a="1"/>
  <c r="B16" i="1" s="1"/>
  <c r="B41" i="1" a="1"/>
  <c r="B41" i="1" s="1"/>
  <c r="B9" i="1" a="1"/>
  <c r="B9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28" i="1" a="1"/>
  <c r="B28" i="1" s="1"/>
  <c r="B26" i="1" a="1"/>
  <c r="B26" i="1" s="1"/>
  <c r="B23" i="1" a="1"/>
  <c r="B23" i="1" s="1"/>
  <c r="B22" i="1"/>
  <c r="B20" i="1" a="1"/>
  <c r="B20" i="1" s="1"/>
  <c r="B19" i="1" a="1"/>
  <c r="B19" i="1" s="1"/>
  <c r="B18" i="1" a="1"/>
  <c r="B18" i="1" s="1"/>
  <c r="B17" i="1" a="1"/>
  <c r="B17" i="1" s="1"/>
  <c r="B15" i="1" a="1"/>
  <c r="B15" i="1" s="1"/>
  <c r="B13" i="1" a="1"/>
  <c r="B13" i="1" s="1"/>
  <c r="B12" i="1" a="1"/>
  <c r="B12" i="1" s="1"/>
  <c r="B11" i="1" a="1"/>
  <c r="B11" i="1" s="1"/>
  <c r="B10" i="1" a="1"/>
  <c r="B10" i="1" s="1"/>
  <c r="B4" i="1" a="1"/>
  <c r="B4" i="1" s="1"/>
  <c r="B47" i="1" a="1"/>
  <c r="B47" i="1" s="1"/>
  <c r="B49" i="1" a="1"/>
  <c r="B49" i="1" s="1"/>
  <c r="B30" i="1" a="1"/>
  <c r="B30" i="1" s="1"/>
  <c r="B53" i="1" a="1"/>
  <c r="B53" i="1" s="1"/>
  <c r="B31" i="1" a="1"/>
  <c r="B31" i="1" s="1"/>
  <c r="B51" i="1" a="1"/>
  <c r="B51" i="1" s="1"/>
  <c r="B50" i="1" a="1"/>
  <c r="B50" i="1" s="1"/>
  <c r="B43" i="1" a="1"/>
  <c r="B44" i="1" s="1"/>
  <c r="B46" i="1" a="1"/>
  <c r="B48" i="1" a="1"/>
  <c r="A35" i="1"/>
  <c r="B27" i="1" a="1"/>
  <c r="A39" i="1"/>
  <c r="A5" i="1"/>
  <c r="A38" i="1"/>
  <c r="A51" i="1"/>
  <c r="A37" i="1"/>
  <c r="A8" i="1"/>
  <c r="A42" i="1"/>
  <c r="A41" i="1"/>
  <c r="A45" i="1"/>
  <c r="A40" i="1"/>
  <c r="A50" i="1"/>
  <c r="A49" i="1"/>
  <c r="A7" i="1"/>
  <c r="A44" i="1"/>
  <c r="A52" i="1"/>
  <c r="A43" i="1"/>
  <c r="A48" i="1"/>
  <c r="A6" i="1"/>
  <c r="A46" i="1"/>
  <c r="A53" i="1"/>
  <c r="A47" i="1"/>
  <c r="B27" i="1" l="1"/>
  <c r="B48" i="1"/>
  <c r="B43" i="1"/>
  <c r="B45" i="1"/>
  <c r="B46" i="1"/>
  <c r="C46" i="1"/>
  <c r="D46" i="1"/>
  <c r="E46" i="1"/>
  <c r="A34" i="1"/>
  <c r="A19" i="1"/>
  <c r="A4" i="1"/>
  <c r="A3" i="1"/>
  <c r="A14" i="1"/>
  <c r="A30" i="1"/>
  <c r="A9" i="1"/>
  <c r="A28" i="1"/>
  <c r="A2" i="1"/>
  <c r="A23" i="1"/>
  <c r="A31" i="1"/>
  <c r="A22" i="1"/>
  <c r="A21" i="1"/>
  <c r="A18" i="1"/>
  <c r="A27" i="1"/>
  <c r="A16" i="1"/>
  <c r="A32" i="1"/>
  <c r="A17" i="1"/>
  <c r="A20" i="1"/>
  <c r="A12" i="1"/>
  <c r="A10" i="1"/>
  <c r="A15" i="1"/>
  <c r="A25" i="1"/>
  <c r="A24" i="1"/>
  <c r="A33" i="1"/>
  <c r="A36" i="1"/>
  <c r="A29" i="1"/>
  <c r="A11" i="1"/>
  <c r="A13" i="1"/>
  <c r="A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<sst xmlns="http://schemas.openxmlformats.org/spreadsheetml/2006/main" count="9" uniqueCount="9">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</sst>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22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=TBXLL_Multiply(Sheet2!D5,Sheet2!E5)</v>
      </c>
      <c r="B5" s="3" cm="1">
        <f t="array" ref="B5">_xll.TBXLL_Multiply(Sheet2!D5,Sheet2!E5)</f>
        <v>20</v>
      </c>
      <c r="C5" s="6"/>
      <c r="H5" s="7"/>
    </row>
    <row r="6" spans="1:8" x14ac:dyDescent="0.55000000000000004">
      <c r="A6" s="3" t="str">
        <f t="shared" ca="1" si="0"/>
        <v>=TBXLL_MultiplyQ(10,2)</v>
      </c>
      <c r="B6" s="3" cm="1">
        <f t="array" ref="B6">_xll.TBXLL_MultiplyQ(10,2)</f>
        <v>20</v>
      </c>
      <c r="C6" s="6"/>
      <c r="H6" s="7"/>
    </row>
    <row r="7" spans="1:8" x14ac:dyDescent="0.55000000000000004">
      <c r="A7" s="3" t="str">
        <f t="shared" ref="A7:A8" ca="1" si="1">_xlfn.FORMULATEXT(B7)</f>
        <v>=TBXLL_MultiplyQ(D4,E4)</v>
      </c>
      <c r="B7" s="3" cm="1">
        <f t="array" ref="B7">_xll.TBXLL_MultiplyQ(D4,E4)</f>
        <v>20</v>
      </c>
      <c r="C7" s="6"/>
      <c r="H7" s="7"/>
    </row>
    <row r="8" spans="1:8" x14ac:dyDescent="0.55000000000000004">
      <c r="A8" s="3" t="str">
        <f t="shared" ca="1" si="1"/>
        <v>=TBXLL_MultiplyQ(Sheet2!D5,Sheet2!E5)</v>
      </c>
      <c r="B8" s="3" cm="1">
        <f t="array" ref="B8">_xll.TBXLL_MultiplyQ(Sheet2!D5,Sheet2!E5)</f>
        <v>20</v>
      </c>
      <c r="C8" s="6"/>
      <c r="H8" s="7"/>
    </row>
    <row r="9" spans="1:8" x14ac:dyDescent="0.55000000000000004">
      <c r="A9" s="3" t="str">
        <f t="shared" ca="1" si="0"/>
        <v>=TBXLL_AddOptional(1,2)</v>
      </c>
      <c r="B9" s="3" cm="1">
        <f t="array" ref="B9">_xll.TBXLL_AddOptional(1,2)</f>
        <v>3</v>
      </c>
      <c r="C9" s="6"/>
      <c r="H9" s="7"/>
    </row>
    <row r="10" spans="1:8" x14ac:dyDescent="0.55000000000000004">
      <c r="A10" s="3" t="str">
        <f t="shared" ca="1" si="0"/>
        <v>=TBXLL_AddOptional(1,2,3)</v>
      </c>
      <c r="B10" s="3" cm="1">
        <f t="array" ref="B10">_xll.TBXLL_AddOptional(1,2,3)</f>
        <v>6</v>
      </c>
      <c r="C10" s="6"/>
      <c r="H10" s="7"/>
    </row>
    <row r="11" spans="1:8" x14ac:dyDescent="0.55000000000000004">
      <c r="A11" s="3" t="str">
        <f t="shared" ca="1" si="0"/>
        <v>=TBXLL_AlwaysDiv0()</v>
      </c>
      <c r="B11" s="3" t="e" cm="1">
        <f t="array" ref="B11">_xll.TBXLL_AlwaysDiv0()</f>
        <v>#DIV/0!</v>
      </c>
      <c r="C11" s="6"/>
      <c r="H11" s="7"/>
    </row>
    <row r="12" spans="1:8" x14ac:dyDescent="0.55000000000000004">
      <c r="A12" s="3" t="str">
        <f ca="1">_xlfn.FORMULATEXT(B12)</f>
        <v>=TBXLL_Divide(10,0)</v>
      </c>
      <c r="B12" s="3" t="e" cm="1">
        <f t="array" ref="B12">_xll.TBXLL_Divide(10,0)</f>
        <v>#DIV/0!</v>
      </c>
      <c r="C12" s="6"/>
      <c r="H12" s="7"/>
    </row>
    <row r="13" spans="1:8" x14ac:dyDescent="0.55000000000000004">
      <c r="A13" s="3" t="str">
        <f ca="1">_xlfn.FORMULATEXT(B13)</f>
        <v>=TBXLL_FailAfterSum({1,2,3})</v>
      </c>
      <c r="B13" s="3" t="e" cm="1">
        <f t="array" ref="B13">_xll.TBXLL_FailAfterSum({1,2,3})</f>
        <v>#VALUE!</v>
      </c>
      <c r="C13" s="6"/>
      <c r="H13" s="7"/>
    </row>
    <row r="14" spans="1:8" x14ac:dyDescent="0.55000000000000004">
      <c r="A14" s="3" t="str">
        <f ca="1">_xlfn.FORMULATEXT(B14)</f>
        <v>=TBXLL_NotFound()</v>
      </c>
      <c r="B14" s="3" t="e" cm="1">
        <f t="array" ref="B14">_xll.TBXLL_NotFound()</f>
        <v>#N/A</v>
      </c>
      <c r="C14" s="6"/>
      <c r="H14" s="7"/>
    </row>
    <row r="15" spans="1:8" x14ac:dyDescent="0.55000000000000004">
      <c r="A15" s="3" t="str">
        <f ca="1">_xlfn.FORMULATEXT(B15)</f>
        <v>=TBXLL_SqrtChecked(-1)</v>
      </c>
      <c r="B15" s="3" t="e" cm="1">
        <f t="array" ref="B15">_xll.TBXLL_SqrtChecked(-1)</f>
        <v>#NUM!</v>
      </c>
      <c r="C15" s="6"/>
      <c r="H15" s="7"/>
    </row>
    <row r="16" spans="1:8" x14ac:dyDescent="0.55000000000000004">
      <c r="A16" s="3" t="str">
        <f ca="1">_xlfn.FORMULATEXT(B16)</f>
        <v>=TBXLL_TextOnly(25)</v>
      </c>
      <c r="B16" s="3" t="e" cm="1">
        <f t="array" ref="B16">_xll.TBXLL_TextOnly(25)</f>
        <v>#VALUE!</v>
      </c>
      <c r="C16" s="6"/>
      <c r="H16" s="7"/>
    </row>
    <row r="17" spans="1:9" x14ac:dyDescent="0.55000000000000004">
      <c r="A17" s="3" t="str">
        <f t="shared" ca="1" si="0"/>
        <v>=TBXLL_Average({1,2,3})</v>
      </c>
      <c r="B17" s="3" cm="1">
        <f t="array" ref="B17">_xll.TBXLL_Average({1,2,3})</f>
        <v>2</v>
      </c>
      <c r="C17" s="6"/>
      <c r="H17" s="7"/>
    </row>
    <row r="18" spans="1:9" x14ac:dyDescent="0.55000000000000004">
      <c r="A18" s="3" t="str">
        <f t="shared" ca="1" si="0"/>
        <v>=TBXLL_ConditionalAdd(10,D18,"result")</v>
      </c>
      <c r="B18" s="3" t="str" cm="1">
        <f t="array" ref="B18">_xll.TBXLL_ConditionalAdd(10,D18,"result")</f>
        <v>result: 20</v>
      </c>
      <c r="C18" s="6"/>
      <c r="D18" t="b">
        <v>1</v>
      </c>
      <c r="H18" s="7"/>
    </row>
    <row r="19" spans="1:9" x14ac:dyDescent="0.55000000000000004">
      <c r="A19" s="3" t="str">
        <f t="shared" ca="1" si="0"/>
        <v>=TBXLL_ConditionalAdd(10,D19,"result")</v>
      </c>
      <c r="B19" s="3" t="str" cm="1">
        <f t="array" ref="B19">_xll.TBXLL_ConditionalAdd(10,D19,"result")</f>
        <v>result: 10</v>
      </c>
      <c r="C19" s="6"/>
      <c r="D19" t="b">
        <v>0</v>
      </c>
      <c r="H19" s="7"/>
    </row>
    <row r="20" spans="1:9" x14ac:dyDescent="0.55000000000000004">
      <c r="A20" s="3" t="str">
        <f t="shared" ca="1" si="0"/>
        <v>=TBXLL_CountIf(D20:F20,"&gt;=3")</v>
      </c>
      <c r="B20" s="3" cm="1">
        <f t="array" ref="B20">_xll.TBXLL_CountIf(D20:F20,"&gt;=3")</f>
        <v>2</v>
      </c>
      <c r="C20" s="6"/>
      <c r="D20">
        <v>2</v>
      </c>
      <c r="E20">
        <v>3</v>
      </c>
      <c r="F20">
        <v>4</v>
      </c>
      <c r="H20" s="7"/>
    </row>
    <row r="21" spans="1:9" x14ac:dyDescent="0.55000000000000004">
      <c r="A21" s="3" t="str">
        <f t="shared" ca="1" si="0"/>
        <v>=TBXLL_Now()</v>
      </c>
      <c r="B21" s="4" cm="1">
        <f t="array" aca="1" ref="B21" ca="1">_xll.TBXLL_Now()</f>
        <v>46080.516100578701</v>
      </c>
      <c r="C21" s="12"/>
      <c r="H21" s="7"/>
      <c r="I21" s="1"/>
    </row>
    <row r="22" spans="1:9" x14ac:dyDescent="0.55000000000000004">
      <c r="A22" s="3" t="str">
        <f t="shared" ca="1" si="0"/>
        <v>=NOW()</v>
      </c>
      <c r="B22" s="4">
        <f ca="1">NOW()</f>
        <v>46080.516100578701</v>
      </c>
      <c r="C22" s="6"/>
      <c r="H22" s="7"/>
    </row>
    <row r="23" spans="1:9" x14ac:dyDescent="0.55000000000000004">
      <c r="A23" s="3" t="str">
        <f ca="1">_xlfn.FORMULATEXT(B23)</f>
        <v>=TBXLL_SqrtChecked(9)</v>
      </c>
      <c r="B23" s="3" cm="1">
        <f t="array" ref="B23">_xll.TBXLL_SqrtChecked(9)</f>
        <v>3</v>
      </c>
      <c r="C23" s="6"/>
      <c r="H23" s="7"/>
    </row>
    <row r="24" spans="1:9" x14ac:dyDescent="0.55000000000000004">
      <c r="A24" s="3" t="str">
        <f ca="1">_xlfn.FORMULATEXT(B24)</f>
        <v>=TBXLL_TextOnly("25")</v>
      </c>
      <c r="B24" s="3" t="str" cm="1">
        <f t="array" ref="B24">_xll.TBXLL_TextOnly("25")</f>
        <v>OK: 25</v>
      </c>
      <c r="C24" s="6"/>
      <c r="H24" s="7"/>
    </row>
    <row r="25" spans="1:9" x14ac:dyDescent="0.55000000000000004">
      <c r="A25" s="3" t="str">
        <f ca="1">_xlfn.FORMULATEXT(B25)</f>
        <v>=TBXLL_Transpose({1;2;3})</v>
      </c>
      <c r="B25" s="3" cm="1">
        <f t="array" ref="B25:D25">_xll.TBXLL_Transpose({1;2;3})</f>
        <v>1</v>
      </c>
      <c r="C25" s="6">
        <v>2</v>
      </c>
      <c r="D25">
        <v>3</v>
      </c>
      <c r="H25" s="7"/>
    </row>
    <row r="26" spans="1:9" x14ac:dyDescent="0.55000000000000004">
      <c r="A26" s="3" t="str">
        <f t="shared" ref="A26:A34" ca="1" si="2">_xlfn.FORMULATEXT(B26)</f>
        <v>=TBXLL_Upper("mike")</v>
      </c>
      <c r="B26" s="3" t="str" cm="1">
        <f t="array" ref="B26">_xll.TBXLL_Upper("mike")</f>
        <v>MIKE</v>
      </c>
      <c r="C26" s="6"/>
      <c r="H26" s="7"/>
    </row>
    <row r="27" spans="1:9" x14ac:dyDescent="0.55000000000000004">
      <c r="A27" s="3" t="str">
        <f t="shared" ca="1" si="2"/>
        <v>=TBXLL_RecalcCounter()</v>
      </c>
      <c r="B27" s="3" cm="1">
        <f t="array" aca="1" ref="B27" ca="1">_xll.TBXLL_RecalcCounter()</f>
        <v>4</v>
      </c>
      <c r="C27" s="6"/>
      <c r="H27" s="7"/>
    </row>
    <row r="28" spans="1:9" x14ac:dyDescent="0.55000000000000004">
      <c r="A28" s="3" t="str">
        <f t="shared" ca="1" si="2"/>
        <v>=TBXLL_SumArray({1,2,3})</v>
      </c>
      <c r="B28" s="3" cm="1">
        <f t="array" ref="B28">_xll.TBXLL_SumArray({1,2,3})</f>
        <v>6</v>
      </c>
      <c r="C28" s="6"/>
      <c r="H28" s="7"/>
    </row>
    <row r="29" spans="1:9" x14ac:dyDescent="0.55000000000000004">
      <c r="A29" s="3" t="str">
        <f t="shared" ca="1" si="2"/>
        <v>=TBXLL_SumArray2({1,2,3})</v>
      </c>
      <c r="B29" s="3" cm="1">
        <f t="array" ref="B29">_xll.TBXLL_SumArray2({1,2,3})</f>
        <v>6</v>
      </c>
      <c r="C29" s="6"/>
      <c r="H29" s="7"/>
    </row>
    <row r="30" spans="1:9" x14ac:dyDescent="0.55000000000000004">
      <c r="A30" s="3" t="str">
        <f t="shared" ca="1" si="2"/>
        <v>{=TBXLL_Join(D30:F31,TRUE)}</v>
      </c>
      <c r="B30" s="3" t="str">
        <f t="array" ref="B30">_xll.TBXLL_Join(D30:F31,TRUE)</f>
        <v>rc11,rc21,rc12,rc22,rc13,rc23</v>
      </c>
      <c r="C30" s="6"/>
      <c r="D30" t="s">
        <v>0</v>
      </c>
      <c r="E30" t="s">
        <v>1</v>
      </c>
      <c r="F30" t="s">
        <v>2</v>
      </c>
      <c r="H30" s="7"/>
    </row>
    <row r="31" spans="1:9" x14ac:dyDescent="0.55000000000000004">
      <c r="A31" s="3" t="str">
        <f t="shared" ca="1" si="2"/>
        <v>=TBXLL_Join(D30:F31,FALSE)</v>
      </c>
      <c r="B31" s="3" t="str" cm="1">
        <f t="array" ref="B31">_xll.TBXLL_Join(D30:F31,FALSE)</f>
        <v>rc11,rc12,rc13,rc21,rc22,rc23</v>
      </c>
      <c r="C31" s="6"/>
      <c r="D31" t="s">
        <v>3</v>
      </c>
      <c r="E31" t="s">
        <v>4</v>
      </c>
      <c r="F31" t="s">
        <v>5</v>
      </c>
      <c r="H31" s="7"/>
    </row>
    <row r="32" spans="1:9" x14ac:dyDescent="0.55000000000000004">
      <c r="A32" s="3" t="str">
        <f t="shared" ca="1" si="2"/>
        <v>=TBXLL_Join({11,12,13;21,22,23},TRUE)</v>
      </c>
      <c r="B32" s="3" t="str" cm="1">
        <f t="array" ref="B32">_xll.TBXLL_Join({11,12,13;21,22,23},TRUE)</f>
        <v>11,21,12,22,13,23</v>
      </c>
      <c r="C32" s="6"/>
      <c r="H32" s="7"/>
    </row>
    <row r="33" spans="1:8" x14ac:dyDescent="0.55000000000000004">
      <c r="A33" s="3" t="str">
        <f t="shared" ca="1" si="2"/>
        <v>=TBXLL_Join({11,12,13;21,22,23},FALSE)</v>
      </c>
      <c r="B33" s="3" t="str" cm="1">
        <f t="array" ref="B33">_xll.TBXLL_Join({11,12,13;21,22,23},FALSE)</f>
        <v>11,12,13,21,22,23</v>
      </c>
      <c r="C33" s="6"/>
      <c r="H33" s="7"/>
    </row>
    <row r="34" spans="1:8" x14ac:dyDescent="0.55000000000000004">
      <c r="A34" s="3" t="str">
        <f t="shared" ca="1" si="2"/>
        <v>=TBXLL_Join({11,12,13;21,22,23})</v>
      </c>
      <c r="B34" s="3" t="str" cm="1">
        <f t="array" ref="B34">_xll.TBXLL_Join({11,12,13;21,22,23})</f>
        <v>11,12,13,21,22,23</v>
      </c>
      <c r="C34" s="6"/>
      <c r="H34" s="7"/>
    </row>
    <row r="35" spans="1:8" x14ac:dyDescent="0.55000000000000004">
      <c r="A35" s="3" t="str">
        <f t="shared" ref="A35:A45" ca="1" si="3">_xlfn.FORMULATEXT(B35)</f>
        <v>=TBXLL_CellValue(testNamedRange)</v>
      </c>
      <c r="B35" s="3" t="b" cm="1">
        <f t="array" ref="B35">_xll.TBXLL_CellValue(testNamedRange)</f>
        <v>1</v>
      </c>
      <c r="C35" s="6" t="b">
        <v>1</v>
      </c>
      <c r="H35" s="7"/>
    </row>
    <row r="36" spans="1:8" x14ac:dyDescent="0.55000000000000004">
      <c r="A36" s="3" t="str">
        <f t="shared" ca="1" si="3"/>
        <v>=TBXLL_CellValue(C36)</v>
      </c>
      <c r="B36" s="3" cm="1">
        <f t="array" ref="B36">_xll.TBXLL_CellValue(C36)</f>
        <v>99</v>
      </c>
      <c r="C36" s="6">
        <v>99</v>
      </c>
      <c r="H36" s="7"/>
    </row>
    <row r="37" spans="1:8" x14ac:dyDescent="0.55000000000000004">
      <c r="A37" s="3" t="str">
        <f t="shared" ca="1" si="3"/>
        <v>=TBXLL_SheetName(D37)</v>
      </c>
      <c r="B37" s="3" t="str" cm="1">
        <f t="array" ref="B37">_xll.TBXLL_SheetName(D37)</f>
        <v>[tests.xlsx]udf tests</v>
      </c>
      <c r="C37" s="6"/>
      <c r="H37" s="7"/>
    </row>
    <row r="38" spans="1:8" x14ac:dyDescent="0.55000000000000004">
      <c r="A38" s="3" t="str">
        <f ca="1">_xlfn.FORMULATEXT(B38)</f>
        <v>=TBXLL_CellAddress(C38)</v>
      </c>
      <c r="B38" s="13" t="str" cm="1">
        <f t="array" ref="B38">_xll.TBXLL_CellAddress(C38)</f>
        <v>$C$38</v>
      </c>
      <c r="C38" s="6"/>
      <c r="H38" s="7"/>
    </row>
    <row r="39" spans="1:8" x14ac:dyDescent="0.55000000000000004">
      <c r="A39" s="3" t="str">
        <f ca="1">_xlfn.FORMULATEXT(B39)</f>
        <v>=TBXLL_CellAddress(Sheet2!C35)</v>
      </c>
      <c r="B39" s="13" t="str" cm="1">
        <f t="array" ref="B39">_xll.TBXLL_CellAddress(Sheet2!C35)</f>
        <v>$C$35</v>
      </c>
      <c r="C39" s="6"/>
      <c r="H39" s="7"/>
    </row>
    <row r="40" spans="1:8" x14ac:dyDescent="0.55000000000000004">
      <c r="A40" s="3" t="str">
        <f ca="1">_xlfn.FORMULATEXT(B40)</f>
        <v>=TBXLL_CellAddress_Hidden(C38)</v>
      </c>
      <c r="B40" s="13" t="str" cm="1">
        <f t="array" ref="B40">_xll.TBXLL_CellAddress_Hidden(C38)</f>
        <v>$C$38</v>
      </c>
      <c r="C40" s="6"/>
      <c r="D40" s="20"/>
      <c r="H40" s="7"/>
    </row>
    <row r="41" spans="1:8" x14ac:dyDescent="0.55000000000000004">
      <c r="A41" s="3" t="str">
        <f t="shared" ca="1" si="3"/>
        <v>=TBXLL_IsEmptyCell(C41)</v>
      </c>
      <c r="B41" s="3" t="b" cm="1">
        <f t="array" ref="B41">_xll.TBXLL_IsEmptyCell(C41)</f>
        <v>1</v>
      </c>
      <c r="C41" s="6"/>
      <c r="H41" s="7"/>
    </row>
    <row r="42" spans="1:8" x14ac:dyDescent="0.55000000000000004">
      <c r="A42" s="3" t="str">
        <f t="shared" ca="1" si="3"/>
        <v>=TBXLL_TestMissing(3.6)</v>
      </c>
      <c r="B42" s="3" cm="1">
        <f t="array" ref="B42">_xll.TBXLL_TestMissing(3.6)</f>
        <v>4</v>
      </c>
      <c r="C42" s="6"/>
      <c r="H42" s="7"/>
    </row>
    <row r="43" spans="1:8" x14ac:dyDescent="0.55000000000000004">
      <c r="A43" s="3" t="str">
        <f t="shared" ca="1" si="3"/>
        <v>{=TBXLL_MultiplyArrays(D43:D45,E43:E45)}</v>
      </c>
      <c r="B43" s="3">
        <f t="array" ref="B43:B45">_xll.TBXLL_MultiplyArrays(D43:D45,E43:E45)</f>
        <v>2</v>
      </c>
      <c r="C43" s="6"/>
      <c r="D43">
        <v>1</v>
      </c>
      <c r="E43">
        <v>2</v>
      </c>
      <c r="H43" s="7"/>
    </row>
    <row r="44" spans="1:8" x14ac:dyDescent="0.55000000000000004">
      <c r="A44" s="3" t="str">
        <f t="shared" ca="1" si="3"/>
        <v>{=TBXLL_MultiplyArrays(D43:D45,E43:E45)}</v>
      </c>
      <c r="B44" s="3">
        <v>20</v>
      </c>
      <c r="C44" s="6"/>
      <c r="D44">
        <v>4</v>
      </c>
      <c r="E44">
        <v>5</v>
      </c>
      <c r="H44" s="7"/>
    </row>
    <row r="45" spans="1:8" x14ac:dyDescent="0.55000000000000004">
      <c r="A45" s="3" t="str">
        <f t="shared" ca="1" si="3"/>
        <v>{=TBXLL_MultiplyArrays(D43:D45,E43:E45)}</v>
      </c>
      <c r="B45" s="3">
        <v>4</v>
      </c>
      <c r="C45" s="6"/>
      <c r="D45">
        <v>2</v>
      </c>
      <c r="E45">
        <v>2</v>
      </c>
      <c r="H45" s="7"/>
    </row>
    <row r="46" spans="1:8" x14ac:dyDescent="0.55000000000000004">
      <c r="A46" s="3" t="str">
        <f t="shared" ref="A46:A53" ca="1" si="4">_xlfn.FORMULATEXT(B46)</f>
        <v>{=TBXLL_NormalizeArray({4,9,16,25})}</v>
      </c>
      <c r="B46" s="5">
        <f t="array" ref="B46:E46">_xll.TBXLL_NormalizeArray({4,9,16,25})</f>
        <v>7.407407407407407E-2</v>
      </c>
      <c r="C46" s="8">
        <v>0.16666666666666666</v>
      </c>
      <c r="D46" s="9">
        <v>0.29629629629629628</v>
      </c>
      <c r="E46" s="9">
        <v>0.46296296296296297</v>
      </c>
      <c r="H46" s="7"/>
    </row>
    <row r="47" spans="1:8" x14ac:dyDescent="0.55000000000000004">
      <c r="A47" s="3" t="str">
        <f t="shared" ca="1" si="4"/>
        <v>=TBXLL_SpeedSafe(100)</v>
      </c>
      <c r="B47" s="3" cm="1">
        <f t="array" ref="B47">_xll.TBXLL_SpeedSafe(100)</f>
        <v>66671645.919710793</v>
      </c>
      <c r="C47" s="6"/>
      <c r="H47" s="7"/>
    </row>
    <row r="48" spans="1:8" x14ac:dyDescent="0.55000000000000004">
      <c r="A48" s="3" t="str">
        <f t="shared" ca="1" si="4"/>
        <v>=TBXLL_SpeedUnsafe(100)</v>
      </c>
      <c r="B48" s="3" cm="1">
        <f t="array" ref="B48">_xll.TBXLL_SpeedUnsafe(100)</f>
        <v>66671645.919710793</v>
      </c>
      <c r="C48" s="6"/>
      <c r="H48" s="7"/>
    </row>
    <row r="49" spans="1:8" x14ac:dyDescent="0.55000000000000004">
      <c r="A49" s="3" t="str">
        <f t="shared" ref="A49" ca="1" si="5">_xlfn.FORMULATEXT(B49)</f>
        <v>=TBXLL_Timestamp()</v>
      </c>
      <c r="B49" s="16" cm="1">
        <f t="array" aca="1" ref="B49" ca="1">_xll.TBXLL_Timestamp()</f>
        <v>173381.10888690001</v>
      </c>
      <c r="C49" s="6"/>
      <c r="H49" s="7"/>
    </row>
    <row r="50" spans="1:8" x14ac:dyDescent="0.55000000000000004">
      <c r="A50" s="3" t="str">
        <f t="shared" ca="1" si="4"/>
        <v>=TBXLL_NumberName(9)</v>
      </c>
      <c r="B50" s="3" t="str" cm="1">
        <f t="array" ref="B50">_xll.TBXLL_NumberName(9)</f>
        <v>Nine</v>
      </c>
      <c r="C50" s="6"/>
      <c r="H50" s="7"/>
    </row>
    <row r="51" spans="1:8" x14ac:dyDescent="0.55000000000000004">
      <c r="A51" s="3" t="str">
        <f t="shared" ca="1" si="4"/>
        <v>=TBXLL_RomanNumeral(9)</v>
      </c>
      <c r="B51" s="3" t="str" cm="1">
        <f t="array" ref="B51">_xll.TBXLL_RomanNumeral(9)</f>
        <v>IX</v>
      </c>
      <c r="H51" s="7"/>
    </row>
    <row r="52" spans="1:8" x14ac:dyDescent="0.55000000000000004">
      <c r="A52" s="3" t="str">
        <f t="shared" ca="1" si="4"/>
        <v>=TBXLL_AddDays(NOW(),7)</v>
      </c>
      <c r="B52" s="14" cm="1">
        <f t="array" aca="1" ref="B52" ca="1">_xll.TBXLL_AddDays(NOW(),7)</f>
        <v>46087.516100578701</v>
      </c>
      <c r="C52" s="6"/>
      <c r="H52" s="7"/>
    </row>
    <row r="53" spans="1:8" x14ac:dyDescent="0.55000000000000004">
      <c r="A53" s="3" t="str">
        <f t="shared" ca="1" si="4"/>
        <v>=TBXLL_FormatArray({1,2,3},"item")</v>
      </c>
      <c r="B53" s="13" t="str" cm="1">
        <f t="array" ref="B53:D53">_xll.TBXLL_FormatArray({1,2,3},"item")</f>
        <v>item_1</v>
      </c>
      <c r="C53" s="15" t="str">
        <v>item_2</v>
      </c>
      <c r="D53" s="10" t="str">
        <v>item_3</v>
      </c>
      <c r="E53" s="10"/>
      <c r="F53" s="10"/>
      <c r="G53" s="10"/>
      <c r="H53" s="11"/>
    </row>
  </sheetData>
  <mergeCells count="1">
    <mergeCell ref="C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D5" sqref="D5:E5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Sheet2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2026-02-27T19:23:45Z</dcterms:modified>
</cp:coreProperties>
</file>