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4C1CA36A-35C0-402E-A07C-1CC8DB9682CB}" xr6:coauthVersionLast="47" xr6:coauthVersionMax="47" xr10:uidLastSave="{00000000-0000-0000-0000-000000000000}"/>
  <bookViews>
    <workbookView xWindow="2298" yWindow="132" windowWidth="16818" windowHeight="13284" xr2:uid="{00000000-000D-0000-FFFF-FFFF00000000}"/>
  </bookViews>
  <sheets>
    <sheet name="Sheet1" sheetId="1" r:id="rId1"/>
  </sheets>
  <definedNames>
    <definedName name="testNamedRange" localSheetId="0">Sheet1!$C$31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 a="1"/>
  <c r="B12" i="1" s="1"/>
  <c r="B35" i="1" a="1"/>
  <c r="B35" i="1" s="1"/>
  <c r="B34" i="1" a="1"/>
  <c r="B34" i="1" s="1"/>
  <c r="B5" i="1" a="1"/>
  <c r="B5" i="1" s="1"/>
  <c r="B36" i="1" a="1"/>
  <c r="B36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8" i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1" i="1" a="1"/>
  <c r="B11" i="1" s="1"/>
  <c r="B10" i="1" a="1"/>
  <c r="B10" i="1" s="1"/>
  <c r="B9" i="1" a="1"/>
  <c r="B9" i="1" s="1"/>
  <c r="B8" i="1" a="1"/>
  <c r="B8" i="1" s="1"/>
  <c r="B7" i="1" a="1"/>
  <c r="B7" i="1" s="1"/>
  <c r="B6" i="1" a="1"/>
  <c r="B6" i="1" s="1"/>
  <c r="B4" i="1" a="1"/>
  <c r="B4" i="1" s="1"/>
  <c r="B3" i="1" a="1"/>
  <c r="B3" i="1" s="1"/>
  <c r="B2" i="1" a="1"/>
  <c r="B2" i="1" s="1"/>
  <c r="B41" i="1" a="1"/>
  <c r="B41" i="1" s="1"/>
  <c r="B43" i="1" a="1"/>
  <c r="B43" i="1" s="1"/>
  <c r="B26" i="1" a="1"/>
  <c r="B26" i="1" s="1"/>
  <c r="B47" i="1" a="1"/>
  <c r="B47" i="1" s="1"/>
  <c r="B46" i="1" a="1"/>
  <c r="B46" i="1" s="1"/>
  <c r="B27" i="1" a="1"/>
  <c r="B27" i="1" s="1"/>
  <c r="B45" i="1" a="1"/>
  <c r="B45" i="1" s="1"/>
  <c r="B44" i="1" a="1"/>
  <c r="B44" i="1" s="1"/>
  <c r="B37" i="1" a="1"/>
  <c r="B38" i="1" s="1"/>
  <c r="B40" i="1" a="1"/>
  <c r="B42" i="1" a="1"/>
  <c r="B23" i="1" a="1"/>
  <c r="A45" i="1"/>
  <c r="A34" i="1"/>
  <c r="A35" i="1"/>
  <c r="A38" i="1"/>
  <c r="A47" i="1"/>
  <c r="A46" i="1"/>
  <c r="A36" i="1"/>
  <c r="A41" i="1"/>
  <c r="A33" i="1"/>
  <c r="A40" i="1"/>
  <c r="A39" i="1"/>
  <c r="A31" i="1"/>
  <c r="A42" i="1"/>
  <c r="A44" i="1"/>
  <c r="A43" i="1"/>
  <c r="A37" i="1"/>
  <c r="B23" i="1" l="1"/>
  <c r="B42" i="1"/>
  <c r="B37" i="1"/>
  <c r="B39" i="1"/>
  <c r="B40" i="1"/>
  <c r="C40" i="1"/>
  <c r="D40" i="1"/>
  <c r="E40" i="1"/>
  <c r="A7" i="1"/>
  <c r="A4" i="1"/>
  <c r="A13" i="1"/>
  <c r="A16" i="1"/>
  <c r="A9" i="1"/>
  <c r="A29" i="1"/>
  <c r="A27" i="1"/>
  <c r="A30" i="1"/>
  <c r="A12" i="1"/>
  <c r="A17" i="1"/>
  <c r="A14" i="1"/>
  <c r="A25" i="1"/>
  <c r="A20" i="1"/>
  <c r="A3" i="1"/>
  <c r="A15" i="1"/>
  <c r="A11" i="1"/>
  <c r="A6" i="1"/>
  <c r="A10" i="1"/>
  <c r="A5" i="1"/>
  <c r="A26" i="1"/>
  <c r="A28" i="1"/>
  <c r="A2" i="1"/>
  <c r="A23" i="1"/>
  <c r="A8" i="1"/>
  <c r="A22" i="1"/>
  <c r="A24" i="1"/>
  <c r="A32" i="1"/>
  <c r="A18" i="1"/>
  <c r="A19" i="1"/>
  <c r="A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<sst xmlns="http://schemas.openxmlformats.org/spreadsheetml/2006/main" count="9" uniqueCount="9">
  <si>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</si>
  <si>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</si>
  <si>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</si>
  <si>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</si>
  <si>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</si>
  <si>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</si>
  <si>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</si>
  <si>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</si>
  <si>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Sandbox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</si>
</sst>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0.00000"/>
    <numFmt numFmtId="166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0" fillId="0" borderId="6" xfId="0" applyBorder="1"/>
    <xf numFmtId="166" fontId="0" fillId="0" borderId="6" xfId="0" applyNumberFormat="1" applyBorder="1"/>
    <xf numFmtId="0" fontId="0" fillId="0" borderId="9" xfId="0" applyBorder="1"/>
    <xf numFmtId="2" fontId="0" fillId="0" borderId="1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7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7" t="s">
        <v>8</v>
      </c>
      <c r="D1" s="18"/>
      <c r="E1" s="18"/>
      <c r="F1" s="18"/>
      <c r="G1" s="18"/>
      <c r="H1" s="19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46079.590263888887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46079.590263888887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0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5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{=TBXLL_Join(D26:F27,TRUE)}</v>
      </c>
      <c r="B26" s="3" t="str">
        <f t="array" ref="B26">_xll.TBXLL_Join(D26:F27,TRUE)</f>
        <v>rc11,rc21,rc12,rc22,rc13,rc23</v>
      </c>
      <c r="C26" s="6"/>
      <c r="D26" t="s">
        <v>0</v>
      </c>
      <c r="E26" t="s">
        <v>1</v>
      </c>
      <c r="F26" t="s">
        <v>2</v>
      </c>
      <c r="H26" s="7"/>
    </row>
    <row r="27" spans="1:9" x14ac:dyDescent="0.55000000000000004">
      <c r="A27" s="3" t="str">
        <f t="shared" ca="1" si="1"/>
        <v>=TBXLL_Join(D26:F27,FALSE)</v>
      </c>
      <c r="B27" s="3" t="str" cm="1">
        <f t="array" ref="B27">_xll.TBXLL_Join(D26:F27,FALSE)</f>
        <v>rc11,rc12,rc13,rc21,rc22,rc23</v>
      </c>
      <c r="C27" s="6"/>
      <c r="D27" t="s">
        <v>3</v>
      </c>
      <c r="E27" t="s">
        <v>4</v>
      </c>
      <c r="F27" t="s">
        <v>5</v>
      </c>
      <c r="H27" s="7"/>
    </row>
    <row r="28" spans="1:9" x14ac:dyDescent="0.55000000000000004">
      <c r="A28" s="3" t="str">
        <f t="shared" ca="1" si="1"/>
        <v>=TBXLL_Join({11,12,13;21,22,23},TRUE)</v>
      </c>
      <c r="B28" s="3" t="str" cm="1">
        <f t="array" ref="B28">_xll.TBXLL_Join({11,12,13;21,22,23},TRUE)</f>
        <v>11,21,12,22,13,23</v>
      </c>
      <c r="C28" s="6"/>
      <c r="H28" s="7"/>
    </row>
    <row r="29" spans="1:9" x14ac:dyDescent="0.55000000000000004">
      <c r="A29" s="3" t="str">
        <f t="shared" ca="1" si="1"/>
        <v>=TBXLL_Join({11,12,13;21,22,23},FALSE)</v>
      </c>
      <c r="B29" s="3" t="str" cm="1">
        <f t="array" ref="B29">_xll.TBXLL_Join({11,12,13;21,22,23},FALSE)</f>
        <v>11,12,13,21,22,23</v>
      </c>
      <c r="C29" s="6"/>
      <c r="H29" s="7"/>
    </row>
    <row r="30" spans="1:9" x14ac:dyDescent="0.55000000000000004">
      <c r="A30" s="3" t="str">
        <f t="shared" ca="1" si="1"/>
        <v>=TBXLL_Join({11,12,13;21,22,23})</v>
      </c>
      <c r="B30" s="3" t="str" cm="1">
        <f t="array" ref="B30">_xll.TBXLL_Join({11,12,13;21,22,23})</f>
        <v>11,12,13,21,22,23</v>
      </c>
      <c r="C30" s="6"/>
      <c r="H30" s="7"/>
    </row>
    <row r="31" spans="1:9" x14ac:dyDescent="0.55000000000000004">
      <c r="A31" s="3" t="str">
        <f t="shared" ref="A31:A39" ca="1" si="2">_xlfn.FORMULATEXT(B31)</f>
        <v>=TBXLL_CellValue(testNamedRange)</v>
      </c>
      <c r="B31" s="3" t="b" cm="1">
        <f t="array" ref="B31">_xll.TBXLL_CellValue(testNamedRange)</f>
        <v>1</v>
      </c>
      <c r="C31" s="6" t="b">
        <v>1</v>
      </c>
      <c r="H31" s="7"/>
    </row>
    <row r="32" spans="1:9" x14ac:dyDescent="0.55000000000000004">
      <c r="A32" s="3" t="str">
        <f t="shared" ca="1" si="2"/>
        <v>=TBXLL_CellValue(C32)</v>
      </c>
      <c r="B32" s="3" cm="1">
        <f t="array" ref="B32">_xll.TBXLL_CellValue(C32)</f>
        <v>99</v>
      </c>
      <c r="C32" s="6">
        <v>99</v>
      </c>
      <c r="H32" s="7"/>
    </row>
    <row r="33" spans="1:8" x14ac:dyDescent="0.55000000000000004">
      <c r="A33" s="3" t="str">
        <f t="shared" ca="1" si="2"/>
        <v>=TBXLL_SheetName(D33)</v>
      </c>
      <c r="B33" s="3" t="str" cm="1">
        <f t="array" ref="B33">_xll.TBXLL_SheetName(D33)</f>
        <v>[tests.xlsx]Sheet1</v>
      </c>
      <c r="C33" s="6"/>
      <c r="H33" s="7"/>
    </row>
    <row r="34" spans="1:8" x14ac:dyDescent="0.55000000000000004">
      <c r="A34" s="3" t="str">
        <f ca="1">_xlfn.FORMULATEXT(B34)</f>
        <v>=TBXLL_CellAddress(C34)</v>
      </c>
      <c r="B34" s="13" t="str" cm="1">
        <f t="array" ref="B34">_xll.TBXLL_CellAddress(C34)</f>
        <v>$C$34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7" ca="1" si="3">_xlfn.FORMULATEXT(B40)</f>
        <v>{=TBXLL_NormalizeArray({4,9,16,25})}</v>
      </c>
      <c r="B40" s="5">
        <f t="array" ref="B40:E40">_xll.TBXLL_NormalizeArray({4,9,16,25})</f>
        <v>7.407407407407407E-2</v>
      </c>
      <c r="C40" s="8">
        <v>0.16666666666666666</v>
      </c>
      <c r="D40" s="9">
        <v>0.29629629629629628</v>
      </c>
      <c r="E40" s="9">
        <v>0.46296296296296297</v>
      </c>
      <c r="H40" s="7"/>
    </row>
    <row r="41" spans="1:8" x14ac:dyDescent="0.55000000000000004">
      <c r="A41" s="3" t="str">
        <f t="shared" ca="1" si="3"/>
        <v>=TBXLL_SpeedSafe(100)</v>
      </c>
      <c r="B41" s="3" cm="1">
        <f t="array" ref="B41">_xll.TBXLL_SpeedSafe(100)</f>
        <v>66671645.919710793</v>
      </c>
      <c r="C41" s="6"/>
      <c r="H41" s="7"/>
    </row>
    <row r="42" spans="1:8" x14ac:dyDescent="0.55000000000000004">
      <c r="A42" s="3" t="str">
        <f t="shared" ca="1" si="3"/>
        <v>=TBXLL_SpeedUnsafe(100)</v>
      </c>
      <c r="B42" s="3" cm="1">
        <f t="array" ref="B42">_xll.TBXLL_SpeedUnsafe(100)</f>
        <v>66671645.919710793</v>
      </c>
      <c r="C42" s="6"/>
      <c r="H42" s="7"/>
    </row>
    <row r="43" spans="1:8" x14ac:dyDescent="0.55000000000000004">
      <c r="A43" s="3" t="str">
        <f t="shared" ref="A43" ca="1" si="4">_xlfn.FORMULATEXT(B43)</f>
        <v>=TBXLL_Timestamp()</v>
      </c>
      <c r="B43" s="16" cm="1">
        <f t="array" aca="1" ref="B43" ca="1">_xll.TBXLL_Timestamp()</f>
        <v>93389.402963100001</v>
      </c>
      <c r="C43" s="6"/>
      <c r="H43" s="7"/>
    </row>
    <row r="44" spans="1:8" x14ac:dyDescent="0.55000000000000004">
      <c r="A44" s="3" t="str">
        <f t="shared" ca="1" si="3"/>
        <v>=TBXLL_NumberName(9)</v>
      </c>
      <c r="B44" s="3" t="str" cm="1">
        <f t="array" ref="B44">_xll.TBXLL_NumberName(9)</f>
        <v>Nine</v>
      </c>
      <c r="C44" s="6"/>
      <c r="H44" s="7"/>
    </row>
    <row r="45" spans="1:8" x14ac:dyDescent="0.55000000000000004">
      <c r="A45" s="3" t="str">
        <f t="shared" ca="1" si="3"/>
        <v>=TBXLL_RomanNumeral(9)</v>
      </c>
      <c r="B45" s="3" t="str" cm="1">
        <f t="array" ref="B45">_xll.TBXLL_RomanNumeral(9)</f>
        <v>IX</v>
      </c>
      <c r="H45" s="7"/>
    </row>
    <row r="46" spans="1:8" x14ac:dyDescent="0.55000000000000004">
      <c r="A46" s="3" t="str">
        <f t="shared" ca="1" si="3"/>
        <v>=TBXLL_AddDays(NOW(),7)</v>
      </c>
      <c r="B46" s="14" cm="1">
        <f t="array" aca="1" ref="B46" ca="1">_xll.TBXLL_AddDays(NOW(),7)</f>
        <v>46086.590263888887</v>
      </c>
      <c r="C46" s="6"/>
      <c r="H46" s="7"/>
    </row>
    <row r="47" spans="1:8" x14ac:dyDescent="0.55000000000000004">
      <c r="A47" s="3" t="str">
        <f t="shared" ca="1" si="3"/>
        <v>=TBXLL_FormatArray({1,2,3},"item")</v>
      </c>
      <c r="B47" s="13" t="str" cm="1">
        <f t="array" ref="B47:D47">_xll.TBXLL_FormatArray({1,2,3},"item")</f>
        <v>item_1</v>
      </c>
      <c r="C47" s="15" t="str">
        <v>item_2</v>
      </c>
      <c r="D47" s="10" t="str">
        <v>item_3</v>
      </c>
      <c r="E47" s="10"/>
      <c r="F47" s="10"/>
      <c r="G47" s="10"/>
      <c r="H47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2026-02-26T21:10:03Z</dcterms:modified>
</cp:coreProperties>
</file>