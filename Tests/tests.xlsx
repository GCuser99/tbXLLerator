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A9631DF2-D0CB-4870-AC89-D07B13C479CC}" xr6:coauthVersionLast="47" xr6:coauthVersionMax="47" xr10:uidLastSave="{00000000-0000-0000-0000-000000000000}"/>
  <bookViews>
    <workbookView xWindow="2928" yWindow="396" windowWidth="16818" windowHeight="13284" xr2:uid="{00000000-000D-0000-FFFF-FFFF00000000}"/>
  </bookViews>
  <sheets>
    <sheet name="Sheet1" sheetId="1" r:id="rId1"/>
  </sheets>
  <definedNames>
    <definedName name="testNamedRange" localSheetId="0">Sheet1!$C$32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1" l="1" a="1"/>
  <c r="B45" i="1" s="1"/>
  <c r="B44" i="1" a="1"/>
  <c r="B44" i="1" s="1"/>
  <c r="B43" i="1" a="1"/>
  <c r="B43" i="1" s="1"/>
  <c r="B41" i="1" a="1"/>
  <c r="B41" i="1" s="1"/>
  <c r="B37" i="1" a="1"/>
  <c r="B38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7" i="1" a="1"/>
  <c r="B27" i="1" s="1"/>
  <c r="B26" i="1"/>
  <c r="B25" i="1" a="1"/>
  <c r="B25" i="1" s="1"/>
  <c r="B24" i="1" a="1"/>
  <c r="B24" i="1" s="1"/>
  <c r="B22" i="1" a="1"/>
  <c r="B22" i="1" s="1"/>
  <c r="B21" i="1" a="1"/>
  <c r="B21" i="1" s="1"/>
  <c r="B20" i="1" a="1"/>
  <c r="B20" i="1" s="1"/>
  <c r="B19" i="1" a="1"/>
  <c r="B19" i="1" s="1"/>
  <c r="B16" i="1" a="1"/>
  <c r="B16" i="1" s="1"/>
  <c r="B15" i="1" a="1"/>
  <c r="B15" i="1" s="1"/>
  <c r="B14" i="1" a="1"/>
  <c r="B14" i="1" s="1"/>
  <c r="B18" i="1"/>
  <c r="B13" i="1" a="1"/>
  <c r="B13" i="1" s="1"/>
  <c r="B4" i="1" a="1"/>
  <c r="B7" i="1" a="1"/>
  <c r="B10" i="1" a="1"/>
  <c r="B12" i="1" a="1"/>
  <c r="B28" i="1" a="1"/>
  <c r="B11" i="1" a="1"/>
  <c r="B2" i="1" a="1"/>
  <c r="B6" i="1" a="1"/>
  <c r="B40" i="1" a="1"/>
  <c r="B3" i="1" a="1"/>
  <c r="B9" i="1" a="1"/>
  <c r="B5" i="1" a="1"/>
  <c r="B8" i="1" a="1"/>
  <c r="B42" i="1" a="1"/>
  <c r="B23" i="1" a="1"/>
  <c r="B17" i="1" a="1"/>
  <c r="A36" i="1"/>
  <c r="A43" i="1"/>
  <c r="A40" i="1"/>
  <c r="A37" i="1"/>
  <c r="A45" i="1"/>
  <c r="A39" i="1"/>
  <c r="A34" i="1"/>
  <c r="A41" i="1"/>
  <c r="A35" i="1"/>
  <c r="A42" i="1"/>
  <c r="A38" i="1"/>
  <c r="A44" i="1"/>
  <c r="A32" i="1"/>
  <c r="B42" i="1" l="1"/>
  <c r="B37" i="1"/>
  <c r="B39" i="1"/>
  <c r="B23" i="1"/>
  <c r="B17" i="1"/>
  <c r="B28" i="1"/>
  <c r="B2" i="1"/>
  <c r="B40" i="1"/>
  <c r="C40" i="1"/>
  <c r="D40" i="1"/>
  <c r="E40" i="1"/>
  <c r="B12" i="1"/>
  <c r="B11" i="1"/>
  <c r="B10" i="1"/>
  <c r="B9" i="1"/>
  <c r="B8" i="1"/>
  <c r="B7" i="1"/>
  <c r="B6" i="1"/>
  <c r="B5" i="1"/>
  <c r="B4" i="1"/>
  <c r="B3" i="1"/>
  <c r="A12" i="1"/>
  <c r="A29" i="1"/>
  <c r="A8" i="1"/>
  <c r="A10" i="1"/>
  <c r="A16" i="1"/>
  <c r="A2" i="1"/>
  <c r="A11" i="1"/>
  <c r="A9" i="1"/>
  <c r="A33" i="1"/>
  <c r="A28" i="1"/>
  <c r="A31" i="1"/>
  <c r="A22" i="1"/>
  <c r="A17" i="1"/>
  <c r="A7" i="1"/>
  <c r="A6" i="1"/>
  <c r="A4" i="1"/>
  <c r="A30" i="1"/>
  <c r="A14" i="1"/>
  <c r="A20" i="1"/>
  <c r="A26" i="1"/>
  <c r="A19" i="1"/>
  <c r="A27" i="1"/>
  <c r="A25" i="1"/>
  <c r="A15" i="1"/>
  <c r="A21" i="1"/>
  <c r="A18" i="1"/>
  <c r="A23" i="1"/>
  <c r="A5" i="1"/>
  <c r="A24" i="1"/>
  <c r="A3" i="1"/>
  <c r="A1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<sst xmlns="http://schemas.openxmlformats.org/spreadsheetml/2006/main" count="9" uniqueCount="9">
  <si>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</si>
  <si>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</si>
  <si>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</si>
  <si>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</si>
  <si>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</si>
  <si>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</si>
  <si>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</si>
  <si>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</si>
  <si>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Playground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</si>
</sst>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164" fontId="0" fillId="0" borderId="2" xfId="0" applyNumberFormat="1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5"/>
  <sheetViews>
    <sheetView tabSelected="1" workbookViewId="0">
      <pane ySplit="1" topLeftCell="A20" activePane="bottomLeft" state="frozen"/>
      <selection pane="bottomLeft" activeCell="A45" sqref="A45:XFD45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3" t="s">
        <v>8</v>
      </c>
      <c r="D1" s="14"/>
      <c r="E1" s="14"/>
      <c r="F1" s="14"/>
      <c r="G1" s="14"/>
      <c r="H1" s="15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cm="1">
        <f t="array" ref="B5">_xll.TBXLL_AddOptional(1,2)</f>
        <v>3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cm="1">
        <f t="array" ref="B6">_xll.TBXLL_AddOptional(1,2,3)</f>
        <v>6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ref="B7">_xll.TBXLL_AlwaysDiv0()</f>
        <v>#DIV/0!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ref="B8">_xll.TBXLL_Divide(10,0)</f>
        <v>#DIV/0!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ref="B9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ref="B10">_xll.TBXLL_NotFound()</f>
        <v>#N/A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ref="B11">_xll.TBXLL_SqrtChecked(-1)</f>
        <v>#NUM!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ref="B12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cm="1">
        <f t="array" ref="B13">_xll.TBXLL_Average({1,2,3})</f>
        <v>2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str" cm="1">
        <f t="array" ref="B14">_xll.TBXLL_ConditionalAdd(10,D14,"result")</f>
        <v>result: 20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str" cm="1">
        <f t="array" ref="B15">_xll.TBXLL_ConditionalAdd(10,D15,"result")</f>
        <v>result: 10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cm="1">
        <f t="array" ref="B16">_xll.TBXLL_CountIf(D16:F16,"&gt;=3")</f>
        <v>2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cm="1">
        <f t="array" aca="1" ref="B17" ca="1">_xll.TBXLL_Now()</f>
        <v>46077.716632407406</v>
      </c>
      <c r="C17" s="12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46077.716631481482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cm="1">
        <f t="array" ref="B19">_xll.TBXLL_SqrtChecked(9)</f>
        <v>3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str" cm="1">
        <f t="array" ref="B20">_xll.TBXLL_TextOnly("25")</f>
        <v>OK: 25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cm="1">
        <f t="array" ref="B21:D21">_xll.TBXLL_Transpose({1;2;3})</f>
        <v>1</v>
      </c>
      <c r="C21" s="6">
        <v>2</v>
      </c>
      <c r="D21">
        <v>3</v>
      </c>
      <c r="H21" s="7"/>
    </row>
    <row r="22" spans="1:9" x14ac:dyDescent="0.55000000000000004">
      <c r="A22" s="3" t="str">
        <f t="shared" ref="A22:A31" ca="1" si="1">_xlfn.FORMULATEXT(B22)</f>
        <v>=TBXLL_Upper("mike")</v>
      </c>
      <c r="B22" s="3" t="str" cm="1">
        <f t="array" ref="B22">_xll.TBXLL_Upper("mike")</f>
        <v>MIKE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cm="1">
        <f t="array" aca="1" ref="B23" ca="1">_xll.TBXLL_RecalcCounter()</f>
        <v>35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cm="1">
        <f t="array" ref="B24">_xll.TBXLL_SumArray({1,2,3})</f>
        <v>6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cm="1">
        <f t="array" ref="B25">_xll.TBXLL_SumArray2({1,2,3})</f>
        <v>6</v>
      </c>
      <c r="C25" s="6"/>
      <c r="H25" s="7"/>
    </row>
    <row r="26" spans="1:9" x14ac:dyDescent="0.55000000000000004">
      <c r="A26" s="3" t="str">
        <f t="shared" ca="1" si="1"/>
        <v>=SUM(F23:F25)</v>
      </c>
      <c r="B26" s="3">
        <f>SUM(F23:F25)</f>
        <v>0</v>
      </c>
      <c r="C26" s="6"/>
      <c r="H26" s="7"/>
    </row>
    <row r="27" spans="1:9" x14ac:dyDescent="0.55000000000000004">
      <c r="A27" s="3" t="str">
        <f t="shared" ca="1" si="1"/>
        <v>{=TBXLL_Join(D27:F28,TRUE)}</v>
      </c>
      <c r="B27" s="3" t="str">
        <f t="array" ref="B27">_xll.TBXLL_Join(D27:F28,TRUE)</f>
        <v>rc11,rc21,rc12,rc22,rc13,rc23</v>
      </c>
      <c r="C27" s="6"/>
      <c r="D27" t="s">
        <v>0</v>
      </c>
      <c r="E27" t="s">
        <v>1</v>
      </c>
      <c r="F27" t="s">
        <v>2</v>
      </c>
      <c r="H27" s="7"/>
    </row>
    <row r="28" spans="1:9" x14ac:dyDescent="0.55000000000000004">
      <c r="A28" s="3" t="str">
        <f t="shared" ca="1" si="1"/>
        <v>=TBXLL_Join(D27:F28,FALSE)</v>
      </c>
      <c r="B28" s="3" t="str" cm="1">
        <f t="array" ref="B28">_xll.TBXLL_Join(D27:F28,FALSE)</f>
        <v>rc11,rc12,rc13,rc21,rc22,rc23</v>
      </c>
      <c r="C28" s="6"/>
      <c r="D28" t="s">
        <v>3</v>
      </c>
      <c r="E28" t="s">
        <v>4</v>
      </c>
      <c r="F28" t="s">
        <v>5</v>
      </c>
      <c r="H28" s="7"/>
    </row>
    <row r="29" spans="1:9" x14ac:dyDescent="0.55000000000000004">
      <c r="A29" s="3" t="str">
        <f t="shared" ca="1" si="1"/>
        <v>=TBXLL_Join({11,12,13;21,22,23},TRUE)</v>
      </c>
      <c r="B29" s="3" t="str" cm="1">
        <f t="array" ref="B29">_xll.TBXLL_Join({11,12,13;21,22,23},TRUE)</f>
        <v>11,21,12,22,13,23</v>
      </c>
      <c r="C29" s="6"/>
      <c r="H29" s="7"/>
    </row>
    <row r="30" spans="1:9" x14ac:dyDescent="0.55000000000000004">
      <c r="A30" s="3" t="str">
        <f t="shared" ca="1" si="1"/>
        <v>=TBXLL_Join({11,12,13;21,22,23},FALSE)</v>
      </c>
      <c r="B30" s="3" t="str" cm="1">
        <f t="array" ref="B30">_xll.TBXLL_Join({11,12,13;21,22,23},FALSE)</f>
        <v>11,12,13,21,22,23</v>
      </c>
      <c r="C30" s="6"/>
      <c r="H30" s="7"/>
    </row>
    <row r="31" spans="1:9" x14ac:dyDescent="0.55000000000000004">
      <c r="A31" s="3" t="str">
        <f t="shared" ca="1" si="1"/>
        <v>=TBXLL_Join({11,12,13;21,22,23})</v>
      </c>
      <c r="B31" s="3" t="str" cm="1">
        <f t="array" ref="B31">_xll.TBXLL_Join({11,12,13;21,22,23})</f>
        <v>11,12,13,21,22,23</v>
      </c>
      <c r="C31" s="6"/>
      <c r="H31" s="7"/>
    </row>
    <row r="32" spans="1:9" x14ac:dyDescent="0.55000000000000004">
      <c r="A32" s="3" t="str">
        <f t="shared" ref="A32:A39" ca="1" si="2">_xlfn.FORMULATEXT(B32)</f>
        <v>=TBXLL_CellValue(testNamedRange)</v>
      </c>
      <c r="B32" s="3" t="b" cm="1">
        <f t="array" ref="B32">_xll.TBXLL_CellValue(testNamedRange)</f>
        <v>1</v>
      </c>
      <c r="C32" s="6" t="b">
        <v>1</v>
      </c>
      <c r="H32" s="7"/>
    </row>
    <row r="33" spans="1:8" x14ac:dyDescent="0.55000000000000004">
      <c r="A33" s="3" t="str">
        <f t="shared" ca="1" si="2"/>
        <v>=TBXLL_CellValue(C33)</v>
      </c>
      <c r="B33" s="3" cm="1">
        <f t="array" ref="B33">_xll.TBXLL_CellValue(C33)</f>
        <v>99</v>
      </c>
      <c r="C33" s="6">
        <v>99</v>
      </c>
      <c r="H33" s="7"/>
    </row>
    <row r="34" spans="1:8" x14ac:dyDescent="0.55000000000000004">
      <c r="A34" s="3" t="str">
        <f t="shared" ca="1" si="2"/>
        <v>=TBXLL_SheetName(D34)</v>
      </c>
      <c r="B34" s="3" t="str" cm="1">
        <f t="array" ref="B34">_xll.TBXLL_SheetName(D34)</f>
        <v>[tests.xlsx]Sheet1</v>
      </c>
      <c r="C34" s="6"/>
      <c r="H34" s="7"/>
    </row>
    <row r="35" spans="1:8" x14ac:dyDescent="0.55000000000000004">
      <c r="A35" s="3" t="str">
        <f t="shared" ca="1" si="2"/>
        <v>=TBXLL_IsEmptyCell(C35)</v>
      </c>
      <c r="B35" s="3" t="b" cm="1">
        <f t="array" ref="B35">_xll.TBXLL_IsEmptyCell(C35)</f>
        <v>1</v>
      </c>
      <c r="C35" s="6"/>
      <c r="H35" s="7"/>
    </row>
    <row r="36" spans="1:8" x14ac:dyDescent="0.55000000000000004">
      <c r="A36" s="3" t="str">
        <f t="shared" ca="1" si="2"/>
        <v>=TBXLL_TestMissing(3.6)</v>
      </c>
      <c r="B36" s="3" cm="1">
        <f t="array" ref="B36">_xll.TBXLL_TestMissing(3.6)</f>
        <v>4</v>
      </c>
      <c r="C36" s="6"/>
      <c r="H36" s="7"/>
    </row>
    <row r="37" spans="1:8" x14ac:dyDescent="0.55000000000000004">
      <c r="A37" s="3" t="str">
        <f t="shared" ca="1" si="2"/>
        <v>{=TBXLL_MultiplyArrays(D37:D39,E37:E39)}</v>
      </c>
      <c r="B37" s="3">
        <f t="array" ref="B37:B39">_xll.TBXLL_MultiplyArrays(D37:D39,E37:E39)</f>
        <v>2</v>
      </c>
      <c r="C37" s="6"/>
      <c r="D37">
        <v>1</v>
      </c>
      <c r="E37">
        <v>2</v>
      </c>
      <c r="H37" s="7"/>
    </row>
    <row r="38" spans="1:8" x14ac:dyDescent="0.55000000000000004">
      <c r="A38" s="3" t="str">
        <f t="shared" ca="1" si="2"/>
        <v>{=TBXLL_MultiplyArrays(D37:D39,E37:E39)}</v>
      </c>
      <c r="B38" s="3">
        <v>20</v>
      </c>
      <c r="C38" s="6"/>
      <c r="D38">
        <v>4</v>
      </c>
      <c r="E38">
        <v>5</v>
      </c>
      <c r="H38" s="7"/>
    </row>
    <row r="39" spans="1:8" x14ac:dyDescent="0.55000000000000004">
      <c r="A39" s="3" t="str">
        <f t="shared" ca="1" si="2"/>
        <v>{=TBXLL_MultiplyArrays(D37:D39,E37:E39)}</v>
      </c>
      <c r="B39" s="3">
        <v>4</v>
      </c>
      <c r="C39" s="6"/>
      <c r="D39">
        <v>2</v>
      </c>
      <c r="E39">
        <v>2</v>
      </c>
      <c r="H39" s="7"/>
    </row>
    <row r="40" spans="1:8" x14ac:dyDescent="0.55000000000000004">
      <c r="A40" s="3" t="str">
        <f t="shared" ref="A40:A45" ca="1" si="3">_xlfn.FORMULATEXT(B40)</f>
        <v>{=TBXLL_NormalizeArray({4,9,16,25})}</v>
      </c>
      <c r="B40" s="5">
        <f t="array" ref="B40:E40">_xll.TBXLL_NormalizeArray({4,9,16,25})</f>
        <v>7.407407407407407E-2</v>
      </c>
      <c r="C40" s="8">
        <v>0.16666666666666666</v>
      </c>
      <c r="D40" s="9">
        <v>0.29629629629629628</v>
      </c>
      <c r="E40" s="9">
        <v>0.46296296296296297</v>
      </c>
      <c r="H40" s="7"/>
    </row>
    <row r="41" spans="1:8" x14ac:dyDescent="0.55000000000000004">
      <c r="A41" s="3" t="str">
        <f t="shared" ca="1" si="3"/>
        <v>=TBXLL_SlowCalcSafe(100)</v>
      </c>
      <c r="B41" s="3" cm="1">
        <f t="array" ref="B41">_xll.TBXLL_SlowCalcSafe(100)</f>
        <v>66666716645.884483</v>
      </c>
      <c r="C41" s="6"/>
      <c r="H41" s="7"/>
    </row>
    <row r="42" spans="1:8" x14ac:dyDescent="0.55000000000000004">
      <c r="A42" s="3" t="str">
        <f t="shared" ca="1" si="3"/>
        <v>=TBXLL_SlowCalcUnsafe(100)</v>
      </c>
      <c r="B42" s="3" cm="1">
        <f t="array" ref="B42">_xll.TBXLL_SlowCalcUnsafe(100)</f>
        <v>66666716645.884483</v>
      </c>
      <c r="C42" s="6"/>
      <c r="H42" s="7"/>
    </row>
    <row r="43" spans="1:8" x14ac:dyDescent="0.55000000000000004">
      <c r="A43" s="3" t="str">
        <f t="shared" ca="1" si="3"/>
        <v>=TBXLL_NumberName(9)</v>
      </c>
      <c r="B43" s="3" t="str" cm="1">
        <f t="array" ref="B43">_xll.TBXLL_NumberName(9)</f>
        <v>Nine</v>
      </c>
      <c r="C43" s="6"/>
      <c r="H43" s="7"/>
    </row>
    <row r="44" spans="1:8" x14ac:dyDescent="0.55000000000000004">
      <c r="A44" s="3" t="str">
        <f t="shared" ca="1" si="3"/>
        <v>=TBXLL_RomanNumeral(9)</v>
      </c>
      <c r="B44" s="3" t="str" cm="1">
        <f t="array" ref="B44">_xll.TBXLL_RomanNumeral(9)</f>
        <v>IX</v>
      </c>
      <c r="H44" s="7"/>
    </row>
    <row r="45" spans="1:8" x14ac:dyDescent="0.55000000000000004">
      <c r="A45" s="3" t="str">
        <f t="shared" ca="1" si="3"/>
        <v>=TBXLL_CellAddress(C45)</v>
      </c>
      <c r="B45" s="3" t="str" cm="1">
        <f t="array" ref="B45">_xll.TBXLL_CellAddress(C45)</f>
        <v>$B$44</v>
      </c>
      <c r="C45" s="10"/>
      <c r="D45" s="10"/>
      <c r="E45" s="10"/>
      <c r="F45" s="10"/>
      <c r="G45" s="10"/>
      <c r="H45" s="11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2026-02-25T00:11:58Z</dcterms:modified>
</cp:coreProperties>
</file>