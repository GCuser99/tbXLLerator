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aite\Documents\GitHub\tbXLLerator\Tests\"/>
    </mc:Choice>
  </mc:AlternateContent>
  <xr:revisionPtr revIDLastSave="0" documentId="13_ncr:1_{6FBC6DD5-F5CF-4120-84E4-3EB82428056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udf tests" sheetId="1" r:id="rId1"/>
    <sheet name="cross-sheet test" sheetId="2" r:id="rId2"/>
  </sheets>
  <definedNames>
    <definedName name="testNamedRange" localSheetId="0">'udf tests'!$C$37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G2" i="1" s="1"/>
  <c r="B38" i="1" a="1"/>
  <c r="B38" i="1" s="1"/>
  <c r="G38" i="1" s="1"/>
  <c r="B42" i="1" a="1"/>
  <c r="B42" i="1" s="1"/>
  <c r="G42" i="1" s="1"/>
  <c r="B5" i="1" a="1"/>
  <c r="B5" i="1" s="1"/>
  <c r="G5" i="1" s="1"/>
  <c r="B4" i="1" a="1"/>
  <c r="B4" i="1" s="1"/>
  <c r="G4" i="1" s="1"/>
  <c r="B3" i="1" a="1"/>
  <c r="B3" i="1" s="1"/>
  <c r="G3" i="1" s="1"/>
  <c r="F19" i="1"/>
  <c r="F18" i="1"/>
  <c r="F17" i="1"/>
  <c r="F16" i="1"/>
  <c r="F15" i="1"/>
  <c r="F14" i="1"/>
  <c r="F55" i="1"/>
  <c r="F24" i="1"/>
  <c r="B36" i="1" a="1"/>
  <c r="B36" i="1" s="1"/>
  <c r="G36" i="1" s="1"/>
  <c r="B35" i="1" a="1"/>
  <c r="B35" i="1" s="1"/>
  <c r="G35" i="1" s="1"/>
  <c r="B34" i="1" a="1"/>
  <c r="B34" i="1" s="1"/>
  <c r="G34" i="1" s="1"/>
  <c r="B52" i="1" a="1"/>
  <c r="B52" i="1" s="1"/>
  <c r="G52" i="1" s="1"/>
  <c r="B51" i="1" a="1"/>
  <c r="B51" i="1" s="1"/>
  <c r="G51" i="1" s="1"/>
  <c r="B49" i="1" a="1"/>
  <c r="B49" i="1" s="1"/>
  <c r="G49" i="1" s="1"/>
  <c r="B28" i="1" a="1"/>
  <c r="B28" i="1" s="1"/>
  <c r="G28" i="1" s="1"/>
  <c r="B39" i="1" a="1"/>
  <c r="B39" i="1" s="1"/>
  <c r="G39" i="1" s="1"/>
  <c r="B11" i="1" a="1"/>
  <c r="B11" i="1" s="1"/>
  <c r="G11" i="1" s="1"/>
  <c r="B56" i="1" a="1"/>
  <c r="B56" i="1" s="1"/>
  <c r="G56" i="1" s="1"/>
  <c r="B10" i="1" a="1"/>
  <c r="B10" i="1" s="1"/>
  <c r="G10" i="1" s="1"/>
  <c r="B9" i="1" a="1"/>
  <c r="B9" i="1" s="1"/>
  <c r="G9" i="1" s="1"/>
  <c r="B24" i="1" a="1"/>
  <c r="B24" i="1" s="1"/>
  <c r="B6" i="1" a="1"/>
  <c r="B6" i="1" s="1"/>
  <c r="G6" i="1" s="1"/>
  <c r="B8" i="1" a="1"/>
  <c r="B8" i="1" s="1"/>
  <c r="G8" i="1" s="1"/>
  <c r="B7" i="1" a="1"/>
  <c r="B7" i="1" s="1"/>
  <c r="G7" i="1" s="1"/>
  <c r="B17" i="1" a="1"/>
  <c r="B17" i="1" s="1"/>
  <c r="G17" i="1" s="1"/>
  <c r="B55" i="1" a="1"/>
  <c r="B55" i="1" s="1"/>
  <c r="B27" i="1" a="1"/>
  <c r="B27" i="1" s="1"/>
  <c r="G27" i="1" s="1"/>
  <c r="B31" i="1" a="1"/>
  <c r="B31" i="1" s="1"/>
  <c r="G31" i="1" s="1"/>
  <c r="B26" i="1" a="1"/>
  <c r="B26" i="1" s="1"/>
  <c r="G26" i="1" s="1"/>
  <c r="B41" i="1" a="1"/>
  <c r="B41" i="1" s="1"/>
  <c r="G41" i="1" s="1"/>
  <c r="B40" i="1" a="1"/>
  <c r="B40" i="1" s="1"/>
  <c r="G40" i="1" s="1"/>
  <c r="B44" i="1" a="1"/>
  <c r="B44" i="1" s="1"/>
  <c r="G44" i="1" s="1"/>
  <c r="B19" i="1" a="1"/>
  <c r="B19" i="1" s="1"/>
  <c r="G19" i="1" s="1"/>
  <c r="B43" i="1" a="1"/>
  <c r="B43" i="1" s="1"/>
  <c r="G43" i="1" s="1"/>
  <c r="B12" i="1" a="1"/>
  <c r="B12" i="1" s="1"/>
  <c r="G12" i="1" s="1"/>
  <c r="B37" i="1" a="1"/>
  <c r="B37" i="1" s="1"/>
  <c r="G37" i="1" s="1"/>
  <c r="B30" i="1" a="1"/>
  <c r="B30" i="1" s="1"/>
  <c r="G30" i="1" s="1"/>
  <c r="B25" i="1" a="1"/>
  <c r="B25" i="1" s="1"/>
  <c r="G25" i="1" s="1"/>
  <c r="B23" i="1" a="1"/>
  <c r="B23" i="1" s="1"/>
  <c r="G23" i="1" s="1"/>
  <c r="B22" i="1" a="1"/>
  <c r="B22" i="1" s="1"/>
  <c r="G22" i="1" s="1"/>
  <c r="B21" i="1" a="1"/>
  <c r="B21" i="1" s="1"/>
  <c r="G21" i="1" s="1"/>
  <c r="B20" i="1" a="1"/>
  <c r="B20" i="1" s="1"/>
  <c r="G20" i="1" s="1"/>
  <c r="B18" i="1" a="1"/>
  <c r="B18" i="1" s="1"/>
  <c r="G18" i="1" s="1"/>
  <c r="B16" i="1" a="1"/>
  <c r="B16" i="1" s="1"/>
  <c r="G16" i="1" s="1"/>
  <c r="B15" i="1" a="1"/>
  <c r="B15" i="1" s="1"/>
  <c r="G15" i="1" s="1"/>
  <c r="B14" i="1" a="1"/>
  <c r="B14" i="1" s="1"/>
  <c r="G14" i="1" s="1"/>
  <c r="B13" i="1" a="1"/>
  <c r="B13" i="1" s="1"/>
  <c r="G13" i="1" s="1"/>
  <c r="B32" i="1" a="1"/>
  <c r="B32" i="1" s="1"/>
  <c r="G32" i="1" s="1"/>
  <c r="B57" i="1" a="1"/>
  <c r="B57" i="1" s="1"/>
  <c r="G57" i="1" s="1"/>
  <c r="B33" i="1" a="1"/>
  <c r="B33" i="1" s="1"/>
  <c r="G33" i="1" s="1"/>
  <c r="B54" i="1" a="1"/>
  <c r="B54" i="1" s="1"/>
  <c r="G54" i="1" s="1"/>
  <c r="B53" i="1" a="1"/>
  <c r="B53" i="1" s="1"/>
  <c r="G53" i="1" s="1"/>
  <c r="B45" i="1" a="1"/>
  <c r="B46" i="1" s="1"/>
  <c r="G46" i="1" s="1"/>
  <c r="B48" i="1" a="1"/>
  <c r="B50" i="1" a="1"/>
  <c r="B58" i="1" a="1"/>
  <c r="A42" i="1"/>
  <c r="A5" i="1"/>
  <c r="A50" i="1"/>
  <c r="A57" i="1"/>
  <c r="A10" i="1"/>
  <c r="A47" i="1"/>
  <c r="B29" i="1" a="1"/>
  <c r="A11" i="1"/>
  <c r="A52" i="1"/>
  <c r="A40" i="1"/>
  <c r="A39" i="1"/>
  <c r="A8" i="1"/>
  <c r="A58" i="1"/>
  <c r="A44" i="1"/>
  <c r="A7" i="1"/>
  <c r="A37" i="1"/>
  <c r="A56" i="1"/>
  <c r="A53" i="1"/>
  <c r="A43" i="1"/>
  <c r="A9" i="1"/>
  <c r="A51" i="1"/>
  <c r="A54" i="1"/>
  <c r="A6" i="1"/>
  <c r="A45" i="1"/>
  <c r="A41" i="1"/>
  <c r="A48" i="1"/>
  <c r="A55" i="1"/>
  <c r="A46" i="1"/>
  <c r="A49" i="1"/>
  <c r="B58" i="1" l="1"/>
  <c r="G58" i="1" s="1"/>
  <c r="G24" i="1"/>
  <c r="G55" i="1"/>
  <c r="B50" i="1"/>
  <c r="G50" i="1" s="1"/>
  <c r="B29" i="1"/>
  <c r="G29" i="1" s="1"/>
  <c r="B45" i="1"/>
  <c r="G45" i="1" s="1"/>
  <c r="B47" i="1"/>
  <c r="G47" i="1" s="1"/>
  <c r="B48" i="1"/>
  <c r="G48" i="1" s="1"/>
  <c r="C48" i="1"/>
  <c r="D48" i="1"/>
  <c r="E48" i="1"/>
  <c r="A14" i="1"/>
  <c r="A15" i="1"/>
  <c r="A24" i="1"/>
  <c r="A23" i="1"/>
  <c r="A38" i="1"/>
  <c r="A33" i="1"/>
  <c r="A25" i="1"/>
  <c r="A19" i="1"/>
  <c r="A12" i="1"/>
  <c r="A18" i="1"/>
  <c r="A22" i="1"/>
  <c r="A28" i="1"/>
  <c r="A21" i="1"/>
  <c r="A29" i="1"/>
  <c r="A16" i="1"/>
  <c r="A20" i="1"/>
  <c r="A36" i="1"/>
  <c r="A31" i="1"/>
  <c r="A3" i="1"/>
  <c r="A13" i="1"/>
  <c r="A32" i="1"/>
  <c r="A30" i="1"/>
  <c r="A35" i="1"/>
  <c r="A2" i="1"/>
  <c r="A4" i="1"/>
  <c r="A27" i="1"/>
  <c r="A17" i="1"/>
  <c r="A34" i="1"/>
  <c r="A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<sst xmlns="http://schemas.openxmlformats.org/spreadsheetml/2006/main" count="28" uniqueCount="26">
  <si>
    <t>rc11</t>
  </si>
  <si>
    <t>rc12</t>
  </si>
  <si>
    <t>rc13</t>
  </si>
  <si>
    <t>rc21</t>
  </si>
  <si>
    <t>rc22</t>
  </si>
  <si>
    <t>rc23</t>
  </si>
  <si>
    <t>Formula</t>
  </si>
  <si>
    <t>UDF Call</t>
  </si>
  <si>
    <t>Sandbox</t>
  </si>
  <si>
    <t>Expected</t>
  </si>
  <si>
    <t>result: 20</t>
  </si>
  <si>
    <t>result: 10</t>
  </si>
  <si>
    <t>OK: 25</t>
  </si>
  <si>
    <t>MIKE</t>
  </si>
  <si>
    <t>rc11,rc21,rc12,rc22,rc13,rc23</t>
  </si>
  <si>
    <t>rc11,rc12,rc13,rc21,rc22,rc23</t>
  </si>
  <si>
    <t>11,21,12,22,13,23</t>
  </si>
  <si>
    <t>11,12,13,21,22,23</t>
  </si>
  <si>
    <t>[tests.xlsx]udf tests</t>
  </si>
  <si>
    <t>$C$40</t>
  </si>
  <si>
    <t>$C$35</t>
  </si>
  <si>
    <t>Nine</t>
  </si>
  <si>
    <t>IX</t>
  </si>
  <si>
    <t>item_1</t>
  </si>
  <si>
    <t>Pass</t>
  </si>
  <si>
    <t>Row 58, Col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</si>
</sst>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0.00000"/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165" fontId="0" fillId="0" borderId="0" xfId="0" applyNumberFormat="1"/>
    <xf numFmtId="0" fontId="0" fillId="0" borderId="3" xfId="0" applyBorder="1"/>
    <xf numFmtId="164" fontId="0" fillId="0" borderId="2" xfId="0" applyNumberFormat="1" applyBorder="1"/>
    <xf numFmtId="0" fontId="0" fillId="0" borderId="4" xfId="0" applyBorder="1"/>
    <xf numFmtId="166" fontId="0" fillId="0" borderId="4" xfId="0" applyNumberFormat="1" applyBorder="1"/>
    <xf numFmtId="0" fontId="0" fillId="0" borderId="6" xfId="0" applyBorder="1"/>
    <xf numFmtId="0" fontId="0" fillId="0" borderId="7" xfId="0" applyBorder="1"/>
    <xf numFmtId="166" fontId="0" fillId="0" borderId="1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8"/>
  <sheetViews>
    <sheetView tabSelected="1" workbookViewId="0">
      <pane ySplit="1" topLeftCell="A2" activePane="bottomLeft" state="frozen"/>
      <selection pane="bottomLeft" activeCell="B49" sqref="B49"/>
    </sheetView>
  </sheetViews>
  <sheetFormatPr defaultRowHeight="14.4" x14ac:dyDescent="0.55000000000000004"/>
  <cols>
    <col min="1" max="1" width="35.7890625" customWidth="1"/>
    <col min="2" max="2" width="24.89453125" customWidth="1"/>
    <col min="3" max="3" width="10.15625" customWidth="1"/>
    <col min="4" max="5" width="11.15625" bestFit="1" customWidth="1"/>
    <col min="6" max="6" width="24.578125" customWidth="1"/>
  </cols>
  <sheetData>
    <row r="1" spans="1:7" x14ac:dyDescent="0.55000000000000004">
      <c r="A1" s="1" t="s">
        <v>6</v>
      </c>
      <c r="B1" s="1" t="s">
        <v>7</v>
      </c>
      <c r="C1" s="18" t="s">
        <v>8</v>
      </c>
      <c r="D1" s="19"/>
      <c r="E1" s="19"/>
      <c r="F1" s="1" t="s">
        <v>9</v>
      </c>
      <c r="G1" s="1" t="s">
        <v>24</v>
      </c>
    </row>
    <row r="2" spans="1:7" x14ac:dyDescent="0.55000000000000004">
      <c r="A2" s="2" t="str">
        <f ca="1">_xlfn.FORMULATEXT(B2)</f>
        <v>=TBXLL_Multiply(10,2)</v>
      </c>
      <c r="B2" s="2" cm="1">
        <f t="array" ref="B2">_xll.TBXLL_Multiply(10,2)</f>
        <v>20</v>
      </c>
      <c r="C2" s="5"/>
      <c r="F2" s="2">
        <v>20</v>
      </c>
      <c r="G2" s="2" t="b">
        <f t="shared" ref="G2:G13" si="0">IF(B2=F2,TRUE, FALSE)</f>
        <v>1</v>
      </c>
    </row>
    <row r="3" spans="1:7" x14ac:dyDescent="0.55000000000000004">
      <c r="A3" s="2" t="str">
        <f t="shared" ref="A3:A24" ca="1" si="1">_xlfn.FORMULATEXT(B3)</f>
        <v>=TBXLL_Multiply("10","2")</v>
      </c>
      <c r="B3" s="2" cm="1">
        <f t="array" ref="B3">_xll.TBXLL_Multiply("10","2")</f>
        <v>20</v>
      </c>
      <c r="C3" s="5"/>
      <c r="F3" s="2">
        <v>20</v>
      </c>
      <c r="G3" s="2" t="b">
        <f t="shared" si="0"/>
        <v>1</v>
      </c>
    </row>
    <row r="4" spans="1:7" x14ac:dyDescent="0.55000000000000004">
      <c r="A4" s="2" t="str">
        <f t="shared" ca="1" si="1"/>
        <v>=TBXLL_Multiply(D4,E4)</v>
      </c>
      <c r="B4" s="2" cm="1">
        <f t="array" ref="B4">_xll.TBXLL_Multiply(D4,E4)</f>
        <v>20</v>
      </c>
      <c r="C4" s="5"/>
      <c r="D4">
        <v>10</v>
      </c>
      <c r="E4">
        <v>2</v>
      </c>
      <c r="F4" s="2">
        <v>20</v>
      </c>
      <c r="G4" s="2" t="b">
        <f t="shared" si="0"/>
        <v>1</v>
      </c>
    </row>
    <row r="5" spans="1:7" x14ac:dyDescent="0.55000000000000004">
      <c r="A5" s="2" t="str">
        <f t="shared" ca="1" si="1"/>
        <v>=TBXLL_Multiply('cross-sheet test'!D5,'cross-sheet test'!E5)</v>
      </c>
      <c r="B5" s="2" cm="1">
        <f t="array" ref="B5">_xll.TBXLL_Multiply('cross-sheet test'!D5,'cross-sheet test'!E5)</f>
        <v>20</v>
      </c>
      <c r="C5" s="5"/>
      <c r="F5" s="2">
        <v>20</v>
      </c>
      <c r="G5" s="2" t="b">
        <f t="shared" si="0"/>
        <v>1</v>
      </c>
    </row>
    <row r="6" spans="1:7" x14ac:dyDescent="0.55000000000000004">
      <c r="A6" s="2" t="str">
        <f t="shared" ca="1" si="1"/>
        <v>=TBXLL_MultiplyQ(10,2)</v>
      </c>
      <c r="B6" s="2" cm="1">
        <f t="array" ref="B6">_xll.TBXLL_MultiplyQ(10,2)</f>
        <v>20</v>
      </c>
      <c r="C6" s="5"/>
      <c r="F6" s="2">
        <v>20</v>
      </c>
      <c r="G6" s="2" t="b">
        <f t="shared" si="0"/>
        <v>1</v>
      </c>
    </row>
    <row r="7" spans="1:7" x14ac:dyDescent="0.55000000000000004">
      <c r="A7" s="2" t="str">
        <f t="shared" ref="A7:A11" ca="1" si="2">_xlfn.FORMULATEXT(B7)</f>
        <v>=TBXLL_MultiplyQ(D4,E4)</v>
      </c>
      <c r="B7" s="2" cm="1">
        <f t="array" ref="B7">_xll.TBXLL_MultiplyQ(D4,E4)</f>
        <v>20</v>
      </c>
      <c r="C7" s="5"/>
      <c r="F7" s="2">
        <v>20</v>
      </c>
      <c r="G7" s="2" t="b">
        <f t="shared" si="0"/>
        <v>1</v>
      </c>
    </row>
    <row r="8" spans="1:7" x14ac:dyDescent="0.55000000000000004">
      <c r="A8" s="2" t="str">
        <f t="shared" ca="1" si="2"/>
        <v>=TBXLL_MultiplyQ('cross-sheet test'!D5,'cross-sheet test'!E5)</v>
      </c>
      <c r="B8" s="2" cm="1">
        <f t="array" ref="B8">_xll.TBXLL_MultiplyQ('cross-sheet test'!D5,'cross-sheet test'!E5)</f>
        <v>20</v>
      </c>
      <c r="C8" s="5"/>
      <c r="F8" s="2">
        <v>20</v>
      </c>
      <c r="G8" s="2" t="b">
        <f t="shared" si="0"/>
        <v>1</v>
      </c>
    </row>
    <row r="9" spans="1:7" x14ac:dyDescent="0.55000000000000004">
      <c r="A9" s="2" t="str">
        <f t="shared" ca="1" si="2"/>
        <v>=TBXLL_MultiplyB(10,2)</v>
      </c>
      <c r="B9" s="2" cm="1">
        <f t="array" ref="B9">_xll.TBXLL_MultiplyB(10,2)</f>
        <v>20</v>
      </c>
      <c r="C9" s="5"/>
      <c r="F9" s="2">
        <v>20</v>
      </c>
      <c r="G9" s="2" t="b">
        <f t="shared" si="0"/>
        <v>1</v>
      </c>
    </row>
    <row r="10" spans="1:7" x14ac:dyDescent="0.55000000000000004">
      <c r="A10" s="2" t="str">
        <f t="shared" ca="1" si="2"/>
        <v>=TBXLL_MultiplyB(D4,E4)</v>
      </c>
      <c r="B10" s="2" cm="1">
        <f t="array" ref="B10">_xll.TBXLL_MultiplyB(D4,E4)</f>
        <v>20</v>
      </c>
      <c r="C10" s="5"/>
      <c r="F10" s="2">
        <v>20</v>
      </c>
      <c r="G10" s="2" t="b">
        <f t="shared" si="0"/>
        <v>1</v>
      </c>
    </row>
    <row r="11" spans="1:7" x14ac:dyDescent="0.55000000000000004">
      <c r="A11" s="2" t="str">
        <f t="shared" ca="1" si="2"/>
        <v>=TBXLL_MultiplyB('cross-sheet test'!D5,'cross-sheet test'!E5)</v>
      </c>
      <c r="B11" s="2" cm="1">
        <f t="array" ref="B11">_xll.TBXLL_MultiplyB('cross-sheet test'!D5,'cross-sheet test'!E5)</f>
        <v>20</v>
      </c>
      <c r="C11" s="5"/>
      <c r="F11" s="2">
        <v>20</v>
      </c>
      <c r="G11" s="2" t="b">
        <f t="shared" si="0"/>
        <v>1</v>
      </c>
    </row>
    <row r="12" spans="1:7" x14ac:dyDescent="0.55000000000000004">
      <c r="A12" s="2" t="str">
        <f t="shared" ca="1" si="1"/>
        <v>=TBXLL_AddOptional(1,2)</v>
      </c>
      <c r="B12" s="2" cm="1">
        <f t="array" ref="B12">_xll.TBXLL_AddOptional(1,2)</f>
        <v>3</v>
      </c>
      <c r="C12" s="5"/>
      <c r="F12" s="2">
        <v>3</v>
      </c>
      <c r="G12" s="2" t="b">
        <f t="shared" si="0"/>
        <v>1</v>
      </c>
    </row>
    <row r="13" spans="1:7" x14ac:dyDescent="0.55000000000000004">
      <c r="A13" s="2" t="str">
        <f t="shared" ca="1" si="1"/>
        <v>=TBXLL_AddOptional(1,2,3)</v>
      </c>
      <c r="B13" s="2" cm="1">
        <f t="array" ref="B13">_xll.TBXLL_AddOptional(1,2,3)</f>
        <v>6</v>
      </c>
      <c r="C13" s="5"/>
      <c r="F13" s="2">
        <v>6</v>
      </c>
      <c r="G13" s="2" t="b">
        <f t="shared" si="0"/>
        <v>1</v>
      </c>
    </row>
    <row r="14" spans="1:7" x14ac:dyDescent="0.55000000000000004">
      <c r="A14" s="2" t="str">
        <f t="shared" ca="1" si="1"/>
        <v>=TBXLL_AlwaysDiv0()</v>
      </c>
      <c r="B14" s="2" t="e" cm="1">
        <f t="array" ref="B14">_xll.TBXLL_AlwaysDiv0()</f>
        <v>#DIV/0!</v>
      </c>
      <c r="C14" s="5"/>
      <c r="F14" s="2" t="e">
        <f>#DIV/0!</f>
        <v>#DIV/0!</v>
      </c>
      <c r="G14" s="2" t="b">
        <f t="shared" ref="G14:G19" si="3">IFERROR(ERROR.TYPE(B14)=ERROR.TYPE(F14), FALSE)</f>
        <v>1</v>
      </c>
    </row>
    <row r="15" spans="1:7" x14ac:dyDescent="0.55000000000000004">
      <c r="A15" s="2" t="str">
        <f ca="1">_xlfn.FORMULATEXT(B15)</f>
        <v>=TBXLL_Divide(10,0)</v>
      </c>
      <c r="B15" s="2" t="e" cm="1">
        <f t="array" ref="B15">_xll.TBXLL_Divide(10,0)</f>
        <v>#DIV/0!</v>
      </c>
      <c r="C15" s="5"/>
      <c r="F15" s="2" t="e">
        <f>#DIV/0!</f>
        <v>#DIV/0!</v>
      </c>
      <c r="G15" s="2" t="b">
        <f t="shared" si="3"/>
        <v>1</v>
      </c>
    </row>
    <row r="16" spans="1:7" x14ac:dyDescent="0.55000000000000004">
      <c r="A16" s="2" t="str">
        <f ca="1">_xlfn.FORMULATEXT(B16)</f>
        <v>=TBXLL_FailAfterSum({1,2,3})</v>
      </c>
      <c r="B16" s="2" t="e" cm="1">
        <f t="array" ref="B16">_xll.TBXLL_FailAfterSum({1,2,3})</f>
        <v>#VALUE!</v>
      </c>
      <c r="C16" s="5"/>
      <c r="F16" s="2" t="e">
        <f>#VALUE!</f>
        <v>#VALUE!</v>
      </c>
      <c r="G16" s="2" t="b">
        <f t="shared" si="3"/>
        <v>1</v>
      </c>
    </row>
    <row r="17" spans="1:7" x14ac:dyDescent="0.55000000000000004">
      <c r="A17" s="2" t="str">
        <f ca="1">_xlfn.FORMULATEXT(B17)</f>
        <v>=TBXLL_NotFound()</v>
      </c>
      <c r="B17" s="2" t="e" cm="1">
        <f t="array" ref="B17">_xll.TBXLL_NotFound()</f>
        <v>#N/A</v>
      </c>
      <c r="C17" s="5"/>
      <c r="F17" s="2" t="e">
        <f>#N/A</f>
        <v>#N/A</v>
      </c>
      <c r="G17" s="2" t="b">
        <f t="shared" si="3"/>
        <v>1</v>
      </c>
    </row>
    <row r="18" spans="1:7" x14ac:dyDescent="0.55000000000000004">
      <c r="A18" s="2" t="str">
        <f ca="1">_xlfn.FORMULATEXT(B18)</f>
        <v>=TBXLL_SqrtChecked(-1)</v>
      </c>
      <c r="B18" s="2" t="e" cm="1">
        <f t="array" ref="B18">_xll.TBXLL_SqrtChecked(-1)</f>
        <v>#NUM!</v>
      </c>
      <c r="C18" s="5"/>
      <c r="F18" s="2" t="e">
        <f>#NUM!</f>
        <v>#NUM!</v>
      </c>
      <c r="G18" s="2" t="b">
        <f t="shared" si="3"/>
        <v>1</v>
      </c>
    </row>
    <row r="19" spans="1:7" x14ac:dyDescent="0.55000000000000004">
      <c r="A19" s="2" t="str">
        <f ca="1">_xlfn.FORMULATEXT(B19)</f>
        <v>=TBXLL_TextOnly(25)</v>
      </c>
      <c r="B19" s="2" t="e" cm="1">
        <f t="array" ref="B19">_xll.TBXLL_TextOnly(25)</f>
        <v>#VALUE!</v>
      </c>
      <c r="C19" s="5"/>
      <c r="F19" s="2" t="e">
        <f>#VALUE!</f>
        <v>#VALUE!</v>
      </c>
      <c r="G19" s="2" t="b">
        <f t="shared" si="3"/>
        <v>1</v>
      </c>
    </row>
    <row r="20" spans="1:7" x14ac:dyDescent="0.55000000000000004">
      <c r="A20" s="2" t="str">
        <f t="shared" ca="1" si="1"/>
        <v>=TBXLL_Average({1,2,3})</v>
      </c>
      <c r="B20" s="2" cm="1">
        <f t="array" ref="B20">_xll.TBXLL_Average({1,2,3})</f>
        <v>2</v>
      </c>
      <c r="C20" s="5"/>
      <c r="F20" s="2">
        <v>2</v>
      </c>
      <c r="G20" s="2" t="b">
        <f>IF(B20=F20,TRUE, FALSE)</f>
        <v>1</v>
      </c>
    </row>
    <row r="21" spans="1:7" x14ac:dyDescent="0.55000000000000004">
      <c r="A21" s="2" t="str">
        <f t="shared" ca="1" si="1"/>
        <v>=TBXLL_ConditionalAdd(10,D21,"result")</v>
      </c>
      <c r="B21" s="2" t="str" cm="1">
        <f t="array" ref="B21">_xll.TBXLL_ConditionalAdd(10,D21,"result")</f>
        <v>result: 20</v>
      </c>
      <c r="C21" s="5"/>
      <c r="D21" t="b">
        <v>1</v>
      </c>
      <c r="F21" s="2" t="s">
        <v>10</v>
      </c>
      <c r="G21" s="2" t="b">
        <f>IF(B21=F21,TRUE, FALSE)</f>
        <v>1</v>
      </c>
    </row>
    <row r="22" spans="1:7" x14ac:dyDescent="0.55000000000000004">
      <c r="A22" s="2" t="str">
        <f t="shared" ca="1" si="1"/>
        <v>=TBXLL_ConditionalAdd(10,D22,"result")</v>
      </c>
      <c r="B22" s="2" t="str" cm="1">
        <f t="array" ref="B22">_xll.TBXLL_ConditionalAdd(10,D22,"result")</f>
        <v>result: 10</v>
      </c>
      <c r="C22" s="5"/>
      <c r="D22" t="b">
        <v>0</v>
      </c>
      <c r="F22" s="2" t="s">
        <v>11</v>
      </c>
      <c r="G22" s="2" t="b">
        <f>IF(B22=F22,TRUE, FALSE)</f>
        <v>1</v>
      </c>
    </row>
    <row r="23" spans="1:7" x14ac:dyDescent="0.55000000000000004">
      <c r="A23" s="2" t="str">
        <f t="shared" ca="1" si="1"/>
        <v>=TBXLL_CountIf(C23:E23,"&gt;=3")</v>
      </c>
      <c r="B23" s="2" cm="1">
        <f t="array" ref="B23">_xll.TBXLL_CountIf(C23:E23,"&gt;=3")</f>
        <v>2</v>
      </c>
      <c r="C23">
        <v>2</v>
      </c>
      <c r="D23">
        <v>3</v>
      </c>
      <c r="E23">
        <v>4</v>
      </c>
      <c r="F23" s="2">
        <v>2</v>
      </c>
      <c r="G23" s="2" t="b">
        <f>IF(B23=F23,TRUE, FALSE)</f>
        <v>1</v>
      </c>
    </row>
    <row r="24" spans="1:7" x14ac:dyDescent="0.55000000000000004">
      <c r="A24" s="2" t="str">
        <f t="shared" ca="1" si="1"/>
        <v>=TBXLL_Now()</v>
      </c>
      <c r="B24" s="3" cm="1">
        <f t="array" aca="1" ref="B24" ca="1">_xll.TBXLL_Now()</f>
        <v>46087.387963541667</v>
      </c>
      <c r="C24" s="9"/>
      <c r="F24" s="3">
        <f ca="1">NOW()</f>
        <v>46087.387963541667</v>
      </c>
      <c r="G24" s="2" t="b">
        <f ca="1">IF(ABS(B24-F24)&lt;0.01,TRUE, FALSE)</f>
        <v>1</v>
      </c>
    </row>
    <row r="25" spans="1:7" x14ac:dyDescent="0.55000000000000004">
      <c r="A25" s="2" t="str">
        <f ca="1">_xlfn.FORMULATEXT(B25)</f>
        <v>=TBXLL_SqrtChecked(9)</v>
      </c>
      <c r="B25" s="2" cm="1">
        <f t="array" ref="B25">_xll.TBXLL_SqrtChecked(9)</f>
        <v>3</v>
      </c>
      <c r="C25" s="5"/>
      <c r="F25" s="2">
        <v>3</v>
      </c>
      <c r="G25" s="2" t="b">
        <f>IF(B25=F25,TRUE, FALSE)</f>
        <v>1</v>
      </c>
    </row>
    <row r="26" spans="1:7" x14ac:dyDescent="0.55000000000000004">
      <c r="A26" s="2" t="str">
        <f ca="1">_xlfn.FORMULATEXT(B26)</f>
        <v>=TBXLL_TextOnly("25")</v>
      </c>
      <c r="B26" s="2" t="str" cm="1">
        <f t="array" ref="B26">_xll.TBXLL_TextOnly("25")</f>
        <v>OK: 25</v>
      </c>
      <c r="C26" s="5"/>
      <c r="F26" s="2" t="s">
        <v>12</v>
      </c>
      <c r="G26" s="2" t="b">
        <f>IF(B26=F26,TRUE, FALSE)</f>
        <v>1</v>
      </c>
    </row>
    <row r="27" spans="1:7" x14ac:dyDescent="0.55000000000000004">
      <c r="A27" s="2" t="str">
        <f ca="1">_xlfn.FORMULATEXT(B27)</f>
        <v>=TBXLL_Transpose({1;2;3})</v>
      </c>
      <c r="B27" s="2" cm="1">
        <f t="array" ref="B27:D27">_xll.TBXLL_Transpose({1;2;3})</f>
        <v>1</v>
      </c>
      <c r="C27" s="5">
        <v>2</v>
      </c>
      <c r="D27">
        <v>3</v>
      </c>
      <c r="F27" s="2">
        <v>1</v>
      </c>
      <c r="G27" s="2" t="b">
        <f>IF(B27=F27,TRUE, FALSE)</f>
        <v>1</v>
      </c>
    </row>
    <row r="28" spans="1:7" x14ac:dyDescent="0.55000000000000004">
      <c r="A28" s="2" t="str">
        <f t="shared" ref="A28:A36" ca="1" si="4">_xlfn.FORMULATEXT(B28)</f>
        <v>=TBXLL_Upper("mike")</v>
      </c>
      <c r="B28" s="2" t="str" cm="1">
        <f t="array" ref="B28">_xll.TBXLL_Upper("mike")</f>
        <v>MIKE</v>
      </c>
      <c r="C28" s="5"/>
      <c r="F28" s="2" t="s">
        <v>13</v>
      </c>
      <c r="G28" s="2" t="b">
        <f>IF(B28=F28,TRUE, FALSE)</f>
        <v>1</v>
      </c>
    </row>
    <row r="29" spans="1:7" x14ac:dyDescent="0.55000000000000004">
      <c r="A29" s="2" t="str">
        <f t="shared" ca="1" si="4"/>
        <v>=TBXLL_RecalcCounter()</v>
      </c>
      <c r="B29" s="2" cm="1">
        <f t="array" aca="1" ref="B29" ca="1">_xll.TBXLL_RecalcCounter()</f>
        <v>2</v>
      </c>
      <c r="C29" s="5"/>
      <c r="F29" s="2"/>
      <c r="G29" s="2" t="b">
        <f ca="1">IF(B29&gt;=1,TRUE, FALSE)</f>
        <v>1</v>
      </c>
    </row>
    <row r="30" spans="1:7" x14ac:dyDescent="0.55000000000000004">
      <c r="A30" s="2" t="str">
        <f t="shared" ca="1" si="4"/>
        <v>=TBXLL_SumArray({1,2,3})</v>
      </c>
      <c r="B30" s="2" cm="1">
        <f t="array" ref="B30">_xll.TBXLL_SumArray({1,2,3})</f>
        <v>6</v>
      </c>
      <c r="C30" s="5"/>
      <c r="F30" s="2">
        <v>6</v>
      </c>
      <c r="G30" s="2" t="b">
        <f t="shared" ref="G30:G58" si="5">IF(B30=F30,TRUE, FALSE)</f>
        <v>1</v>
      </c>
    </row>
    <row r="31" spans="1:7" x14ac:dyDescent="0.55000000000000004">
      <c r="A31" s="2" t="str">
        <f t="shared" ca="1" si="4"/>
        <v>=TBXLL_SumArray2({1,2,3})</v>
      </c>
      <c r="B31" s="2" cm="1">
        <f t="array" ref="B31">_xll.TBXLL_SumArray2({1,2,3})</f>
        <v>6</v>
      </c>
      <c r="C31" s="5"/>
      <c r="F31" s="2">
        <v>6</v>
      </c>
      <c r="G31" s="2" t="b">
        <f t="shared" si="5"/>
        <v>1</v>
      </c>
    </row>
    <row r="32" spans="1:7" x14ac:dyDescent="0.55000000000000004">
      <c r="A32" s="2" t="str">
        <f t="shared" ca="1" si="4"/>
        <v>{=TBXLL_Join(C32:E33,TRUE)}</v>
      </c>
      <c r="B32" s="2" t="str">
        <f t="array" ref="B32">_xll.TBXLL_Join(C32:E33,TRUE)</f>
        <v>rc11,rc21,rc12,rc22,rc13,rc23</v>
      </c>
      <c r="C32" t="s">
        <v>0</v>
      </c>
      <c r="D32" t="s">
        <v>1</v>
      </c>
      <c r="E32" t="s">
        <v>2</v>
      </c>
      <c r="F32" s="2" t="s">
        <v>14</v>
      </c>
      <c r="G32" s="2" t="b">
        <f t="shared" si="5"/>
        <v>1</v>
      </c>
    </row>
    <row r="33" spans="1:7" x14ac:dyDescent="0.55000000000000004">
      <c r="A33" s="2" t="str">
        <f t="shared" ca="1" si="4"/>
        <v>=TBXLL_Join(C32:E33,FALSE)</v>
      </c>
      <c r="B33" s="2" t="str" cm="1">
        <f t="array" ref="B33">_xll.TBXLL_Join(C32:E33,FALSE)</f>
        <v>rc11,rc12,rc13,rc21,rc22,rc23</v>
      </c>
      <c r="C33" t="s">
        <v>3</v>
      </c>
      <c r="D33" t="s">
        <v>4</v>
      </c>
      <c r="E33" t="s">
        <v>5</v>
      </c>
      <c r="F33" s="2" t="s">
        <v>15</v>
      </c>
      <c r="G33" s="2" t="b">
        <f t="shared" si="5"/>
        <v>1</v>
      </c>
    </row>
    <row r="34" spans="1:7" x14ac:dyDescent="0.55000000000000004">
      <c r="A34" s="2" t="str">
        <f t="shared" ca="1" si="4"/>
        <v>=TBXLL_Join({11,12,13;21,22,23},TRUE)</v>
      </c>
      <c r="B34" s="2" t="str" cm="1">
        <f t="array" ref="B34">_xll.TBXLL_Join({11,12,13;21,22,23},TRUE)</f>
        <v>11,21,12,22,13,23</v>
      </c>
      <c r="C34" s="5"/>
      <c r="F34" s="2" t="s">
        <v>16</v>
      </c>
      <c r="G34" s="2" t="b">
        <f t="shared" si="5"/>
        <v>1</v>
      </c>
    </row>
    <row r="35" spans="1:7" x14ac:dyDescent="0.55000000000000004">
      <c r="A35" s="2" t="str">
        <f t="shared" ca="1" si="4"/>
        <v>=TBXLL_Join({11,12,13;21,22,23},FALSE)</v>
      </c>
      <c r="B35" s="2" t="str" cm="1">
        <f t="array" ref="B35">_xll.TBXLL_Join({11,12,13;21,22,23},FALSE)</f>
        <v>11,12,13,21,22,23</v>
      </c>
      <c r="C35" s="5"/>
      <c r="F35" s="2" t="s">
        <v>17</v>
      </c>
      <c r="G35" s="2" t="b">
        <f t="shared" si="5"/>
        <v>1</v>
      </c>
    </row>
    <row r="36" spans="1:7" x14ac:dyDescent="0.55000000000000004">
      <c r="A36" s="2" t="str">
        <f t="shared" ca="1" si="4"/>
        <v>=TBXLL_Join({11,12,13;21,22,23})</v>
      </c>
      <c r="B36" s="2" t="str" cm="1">
        <f t="array" ref="B36">_xll.TBXLL_Join({11,12,13;21,22,23})</f>
        <v>11,12,13,21,22,23</v>
      </c>
      <c r="C36" s="5"/>
      <c r="F36" s="2" t="s">
        <v>17</v>
      </c>
      <c r="G36" s="2" t="b">
        <f t="shared" si="5"/>
        <v>1</v>
      </c>
    </row>
    <row r="37" spans="1:7" x14ac:dyDescent="0.55000000000000004">
      <c r="A37" s="2" t="str">
        <f t="shared" ref="A37:A47" ca="1" si="6">_xlfn.FORMULATEXT(B37)</f>
        <v>=TBXLL_CellValue(testNamedRange)</v>
      </c>
      <c r="B37" s="2" t="b" cm="1">
        <f t="array" ref="B37">_xll.TBXLL_CellValue(testNamedRange)</f>
        <v>1</v>
      </c>
      <c r="C37" s="5" t="b">
        <v>1</v>
      </c>
      <c r="F37" s="2" t="b">
        <v>1</v>
      </c>
      <c r="G37" s="2" t="b">
        <f t="shared" si="5"/>
        <v>1</v>
      </c>
    </row>
    <row r="38" spans="1:7" x14ac:dyDescent="0.55000000000000004">
      <c r="A38" s="2" t="str">
        <f t="shared" ca="1" si="6"/>
        <v>=TBXLL_CellValue(C38)</v>
      </c>
      <c r="B38" s="2" cm="1">
        <f t="array" ref="B38">_xll.TBXLL_CellValue(C38)</f>
        <v>99</v>
      </c>
      <c r="C38" s="5">
        <v>99</v>
      </c>
      <c r="F38" s="2">
        <v>99</v>
      </c>
      <c r="G38" s="2" t="b">
        <f t="shared" si="5"/>
        <v>1</v>
      </c>
    </row>
    <row r="39" spans="1:7" x14ac:dyDescent="0.55000000000000004">
      <c r="A39" s="2" t="str">
        <f t="shared" ca="1" si="6"/>
        <v>=TBXLL_SheetName(D39)</v>
      </c>
      <c r="B39" s="2" t="str" cm="1">
        <f t="array" ref="B39">_xll.TBXLL_SheetName(D39)</f>
        <v>[tests.xlsx]udf tests</v>
      </c>
      <c r="C39" s="5"/>
      <c r="F39" s="2" t="s">
        <v>18</v>
      </c>
      <c r="G39" s="2" t="b">
        <f t="shared" si="5"/>
        <v>1</v>
      </c>
    </row>
    <row r="40" spans="1:7" x14ac:dyDescent="0.55000000000000004">
      <c r="A40" s="2" t="str">
        <f ca="1">_xlfn.FORMULATEXT(B40)</f>
        <v>=TBXLL_CellAddress(C40)</v>
      </c>
      <c r="B40" s="10" t="str" cm="1">
        <f t="array" ref="B40">_xll.TBXLL_CellAddress(C40)</f>
        <v>$C$40</v>
      </c>
      <c r="C40" s="5"/>
      <c r="F40" s="2" t="s">
        <v>19</v>
      </c>
      <c r="G40" s="2" t="b">
        <f t="shared" si="5"/>
        <v>1</v>
      </c>
    </row>
    <row r="41" spans="1:7" x14ac:dyDescent="0.55000000000000004">
      <c r="A41" s="2" t="str">
        <f ca="1">_xlfn.FORMULATEXT(B41)</f>
        <v>=TBXLL_CellAddress('cross-sheet test'!C35)</v>
      </c>
      <c r="B41" s="10" t="str" cm="1">
        <f t="array" ref="B41">_xll.TBXLL_CellAddress('cross-sheet test'!C35)</f>
        <v>$C$35</v>
      </c>
      <c r="C41" s="5"/>
      <c r="F41" s="2" t="s">
        <v>20</v>
      </c>
      <c r="G41" s="2" t="b">
        <f t="shared" si="5"/>
        <v>1</v>
      </c>
    </row>
    <row r="42" spans="1:7" x14ac:dyDescent="0.55000000000000004">
      <c r="A42" s="2" t="str">
        <f ca="1">_xlfn.FORMULATEXT(B42)</f>
        <v>=TBXLL_CellAddress_Hidden(C40)</v>
      </c>
      <c r="B42" s="10" t="str" cm="1">
        <f t="array" ref="B42">_xll.TBXLL_CellAddress_Hidden(C40)</f>
        <v>$C$40</v>
      </c>
      <c r="C42" s="5"/>
      <c r="F42" s="2" t="s">
        <v>19</v>
      </c>
      <c r="G42" s="2" t="b">
        <f t="shared" si="5"/>
        <v>1</v>
      </c>
    </row>
    <row r="43" spans="1:7" x14ac:dyDescent="0.55000000000000004">
      <c r="A43" s="2" t="str">
        <f t="shared" ca="1" si="6"/>
        <v>=TBXLL_IsEmptyCell(C43)</v>
      </c>
      <c r="B43" s="2" t="b" cm="1">
        <f t="array" ref="B43">_xll.TBXLL_IsEmptyCell(C43)</f>
        <v>1</v>
      </c>
      <c r="C43" s="5"/>
      <c r="F43" s="2" t="b">
        <v>1</v>
      </c>
      <c r="G43" s="2" t="b">
        <f t="shared" si="5"/>
        <v>1</v>
      </c>
    </row>
    <row r="44" spans="1:7" x14ac:dyDescent="0.55000000000000004">
      <c r="A44" s="2" t="str">
        <f t="shared" ca="1" si="6"/>
        <v>=TBXLL_TestMissing(3.6)</v>
      </c>
      <c r="B44" s="2" cm="1">
        <f t="array" ref="B44">_xll.TBXLL_TestMissing(3.6)</f>
        <v>4</v>
      </c>
      <c r="C44" s="5"/>
      <c r="F44" s="2">
        <v>4</v>
      </c>
      <c r="G44" s="2" t="b">
        <f t="shared" si="5"/>
        <v>1</v>
      </c>
    </row>
    <row r="45" spans="1:7" x14ac:dyDescent="0.55000000000000004">
      <c r="A45" s="2" t="str">
        <f t="shared" ca="1" si="6"/>
        <v>{=TBXLL_MultiplyArrays(D45:D47,E45:E47)}</v>
      </c>
      <c r="B45" s="2">
        <f t="array" ref="B45:B47">_xll.TBXLL_MultiplyArrays(D45:D47,E45:E47)</f>
        <v>2</v>
      </c>
      <c r="C45" s="5"/>
      <c r="D45">
        <v>1</v>
      </c>
      <c r="E45">
        <v>2</v>
      </c>
      <c r="F45" s="2">
        <v>2</v>
      </c>
      <c r="G45" s="2" t="b">
        <f t="shared" si="5"/>
        <v>1</v>
      </c>
    </row>
    <row r="46" spans="1:7" x14ac:dyDescent="0.55000000000000004">
      <c r="A46" s="2" t="str">
        <f t="shared" ca="1" si="6"/>
        <v>{=TBXLL_MultiplyArrays(D45:D47,E45:E47)}</v>
      </c>
      <c r="B46" s="2">
        <v>20</v>
      </c>
      <c r="C46" s="5"/>
      <c r="D46">
        <v>4</v>
      </c>
      <c r="E46">
        <v>5</v>
      </c>
      <c r="F46" s="2">
        <v>20</v>
      </c>
      <c r="G46" s="2" t="b">
        <f t="shared" si="5"/>
        <v>1</v>
      </c>
    </row>
    <row r="47" spans="1:7" x14ac:dyDescent="0.55000000000000004">
      <c r="A47" s="2" t="str">
        <f t="shared" ca="1" si="6"/>
        <v>{=TBXLL_MultiplyArrays(D45:D47,E45:E47)}</v>
      </c>
      <c r="B47" s="2">
        <v>4</v>
      </c>
      <c r="C47" s="5"/>
      <c r="D47">
        <v>2</v>
      </c>
      <c r="E47">
        <v>2</v>
      </c>
      <c r="F47" s="2">
        <v>4</v>
      </c>
      <c r="G47" s="2" t="b">
        <f t="shared" si="5"/>
        <v>1</v>
      </c>
    </row>
    <row r="48" spans="1:7" x14ac:dyDescent="0.55000000000000004">
      <c r="A48" s="2" t="str">
        <f t="shared" ref="A48:A58" ca="1" si="7">_xlfn.FORMULATEXT(B48)</f>
        <v>{=TBXLL_NormalizeArray({4,9,16,25})}</v>
      </c>
      <c r="B48" s="4">
        <f t="array" ref="B48:E48">_xll.TBXLL_NormalizeArray({4,9,16,25})</f>
        <v>7.407407407407407E-2</v>
      </c>
      <c r="C48" s="6">
        <v>0.16666666666666666</v>
      </c>
      <c r="D48" s="7">
        <v>0.29629629629629628</v>
      </c>
      <c r="E48" s="7">
        <v>0.46296296296296297</v>
      </c>
      <c r="F48" s="2">
        <v>7.407407407407407E-2</v>
      </c>
      <c r="G48" s="2" t="b">
        <f t="shared" si="5"/>
        <v>1</v>
      </c>
    </row>
    <row r="49" spans="1:7" x14ac:dyDescent="0.55000000000000004">
      <c r="A49" s="2" t="str">
        <f t="shared" ca="1" si="7"/>
        <v>=TBXLL_SpeedSafe(100,10,10)</v>
      </c>
      <c r="B49" s="2" cm="1">
        <f t="array" ref="B49">_xll.TBXLL_SpeedSafe(100,10,10)</f>
        <v>1000</v>
      </c>
      <c r="C49" s="5"/>
      <c r="F49" s="2">
        <v>1000</v>
      </c>
      <c r="G49" s="2" t="b">
        <f t="shared" si="5"/>
        <v>1</v>
      </c>
    </row>
    <row r="50" spans="1:7" x14ac:dyDescent="0.55000000000000004">
      <c r="A50" s="2" t="str">
        <f t="shared" ca="1" si="7"/>
        <v>=TBXLL_SpeedUnsafe(100,10,10)</v>
      </c>
      <c r="B50" s="2" cm="1">
        <f t="array" ref="B50">_xll.TBXLL_SpeedUnsafe(100,10,10)</f>
        <v>1000</v>
      </c>
      <c r="C50" s="5"/>
      <c r="F50" s="2">
        <v>1000</v>
      </c>
      <c r="G50" s="2" t="b">
        <f t="shared" si="5"/>
        <v>1</v>
      </c>
    </row>
    <row r="51" spans="1:7" x14ac:dyDescent="0.55000000000000004">
      <c r="A51" s="2" t="str">
        <f t="shared" ref="A51" ca="1" si="8">_xlfn.FORMULATEXT(B51)</f>
        <v>=TBXLL_SpeedSafeQ(100,10,10)</v>
      </c>
      <c r="B51" s="2" cm="1">
        <f t="array" ref="B51">_xll.TBXLL_SpeedSafeQ(100,10,10)</f>
        <v>1000</v>
      </c>
      <c r="C51" s="5"/>
      <c r="F51" s="2">
        <v>1000</v>
      </c>
      <c r="G51" s="2" t="b">
        <f t="shared" si="5"/>
        <v>1</v>
      </c>
    </row>
    <row r="52" spans="1:7" x14ac:dyDescent="0.55000000000000004">
      <c r="A52" s="2" t="str">
        <f t="shared" ref="A52" ca="1" si="9">_xlfn.FORMULATEXT(B52)</f>
        <v>=TBXLL_SpeedSafeB(100,10,10)</v>
      </c>
      <c r="B52" s="2" cm="1">
        <f t="array" ref="B52">_xll.TBXLL_SpeedSafeB(100,10,10)</f>
        <v>1000</v>
      </c>
      <c r="C52" s="5"/>
      <c r="F52" s="2">
        <v>1000</v>
      </c>
      <c r="G52" s="2" t="b">
        <f t="shared" si="5"/>
        <v>1</v>
      </c>
    </row>
    <row r="53" spans="1:7" x14ac:dyDescent="0.55000000000000004">
      <c r="A53" s="2" t="str">
        <f t="shared" ca="1" si="7"/>
        <v>=TBXLL_NumberName(9)</v>
      </c>
      <c r="B53" s="2" t="str" cm="1">
        <f t="array" ref="B53">_xll.TBXLL_NumberName(9)</f>
        <v>Nine</v>
      </c>
      <c r="C53" s="5"/>
      <c r="F53" s="2" t="s">
        <v>21</v>
      </c>
      <c r="G53" s="2" t="b">
        <f t="shared" si="5"/>
        <v>1</v>
      </c>
    </row>
    <row r="54" spans="1:7" x14ac:dyDescent="0.55000000000000004">
      <c r="A54" s="2" t="str">
        <f t="shared" ca="1" si="7"/>
        <v>=TBXLL_RomanNumeral(9)</v>
      </c>
      <c r="B54" s="2" t="str" cm="1">
        <f t="array" ref="B54">_xll.TBXLL_RomanNumeral(9)</f>
        <v>IX</v>
      </c>
      <c r="F54" s="2" t="s">
        <v>22</v>
      </c>
      <c r="G54" s="2" t="b">
        <f t="shared" si="5"/>
        <v>1</v>
      </c>
    </row>
    <row r="55" spans="1:7" x14ac:dyDescent="0.55000000000000004">
      <c r="A55" s="2" t="str">
        <f t="shared" ca="1" si="7"/>
        <v>=TBXLL_AddDays(NOW(),7)</v>
      </c>
      <c r="B55" s="11" cm="1">
        <f t="array" aca="1" ref="B55" ca="1">_xll.TBXLL_AddDays(NOW(),7)</f>
        <v>46094.387963541667</v>
      </c>
      <c r="C55" s="5"/>
      <c r="F55" s="14">
        <f ca="1">NOW()+7</f>
        <v>46094.387963541667</v>
      </c>
      <c r="G55" s="2" t="b">
        <f t="shared" ca="1" si="5"/>
        <v>1</v>
      </c>
    </row>
    <row r="56" spans="1:7" x14ac:dyDescent="0.55000000000000004">
      <c r="A56" s="13" t="str">
        <f t="shared" ca="1" si="7"/>
        <v>=TBXLL_SumFP12(D45:E47)</v>
      </c>
      <c r="B56" cm="1">
        <f t="array" ref="B56">_xll.TBXLL_SumFP12(D45:E47)</f>
        <v>16</v>
      </c>
      <c r="C56" s="5"/>
      <c r="F56" s="13">
        <v>16</v>
      </c>
      <c r="G56" s="13" t="b">
        <f t="shared" si="5"/>
        <v>1</v>
      </c>
    </row>
    <row r="57" spans="1:7" x14ac:dyDescent="0.55000000000000004">
      <c r="A57" s="2" t="str">
        <f t="shared" ca="1" si="7"/>
        <v>=TBXLL_FormatArray({1,2,3},"item")</v>
      </c>
      <c r="B57" s="10" t="str" cm="1">
        <f t="array" ref="B57:D57">_xll.TBXLL_FormatArray({1,2,3},"item")</f>
        <v>item_1</v>
      </c>
      <c r="C57" s="5" t="str">
        <v>item_2</v>
      </c>
      <c r="D57" t="str">
        <v>item_3</v>
      </c>
      <c r="E57" s="16"/>
      <c r="F57" s="15" t="s">
        <v>23</v>
      </c>
      <c r="G57" s="2" t="b">
        <f t="shared" si="5"/>
        <v>1</v>
      </c>
    </row>
    <row r="58" spans="1:7" x14ac:dyDescent="0.55000000000000004">
      <c r="A58" s="2" t="str">
        <f t="shared" ca="1" si="7"/>
        <v>=TBXLL_WhereAmI()</v>
      </c>
      <c r="B58" s="10" t="str" cm="1">
        <f t="array" ref="B58">_xll.TBXLL_WhereAmI()</f>
        <v>Row 58, Col 2</v>
      </c>
      <c r="C58" s="12"/>
      <c r="D58" s="8"/>
      <c r="E58" s="17"/>
      <c r="F58" s="15" t="s">
        <v>25</v>
      </c>
      <c r="G58" s="2" t="b">
        <f t="shared" si="5"/>
        <v>1</v>
      </c>
    </row>
  </sheetData>
  <mergeCells count="1">
    <mergeCell ref="C1:E1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973F-FAC2-42BC-8E9A-C340D5BF91FB}">
  <dimension ref="D5:E5"/>
  <sheetViews>
    <sheetView workbookViewId="0">
      <selection activeCell="C21" sqref="C21"/>
    </sheetView>
  </sheetViews>
  <sheetFormatPr defaultRowHeight="14.4" x14ac:dyDescent="0.55000000000000004"/>
  <sheetData>
    <row r="5" spans="4:5" x14ac:dyDescent="0.55000000000000004">
      <c r="D5">
        <v>10</v>
      </c>
      <c r="E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udf tests</vt:lpstr>
      <vt:lpstr>cross-sheet test</vt:lpstr>
      <vt:lpstr>'udf tests'!testNamedRange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Waite</dc:creator>
  <cp:lastModifiedBy>Mike Waite</cp:lastModifiedBy>
  <dcterms:created xsi:type="dcterms:W3CDTF">2015-06-05T18:17:20Z</dcterms:created>
  <dcterms:modified xsi:type="dcterms:W3CDTF">2026-03-06T16:18:49Z</dcterms:modified>
</cp:coreProperties>
</file>