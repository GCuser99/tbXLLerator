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ite\Documents\GitHub\XLLent\"/>
    </mc:Choice>
  </mc:AlternateContent>
  <xr:revisionPtr revIDLastSave="0" documentId="13_ncr:1_{94B39486-5F40-4B54-8465-16B8CCAE46F2}" xr6:coauthVersionLast="47" xr6:coauthVersionMax="47" xr10:uidLastSave="{00000000-0000-0000-0000-000000000000}"/>
  <bookViews>
    <workbookView xWindow="636" yWindow="396" windowWidth="12096" windowHeight="13284" xr2:uid="{00000000-000D-0000-FFFF-FFFF00000000}"/>
  </bookViews>
  <sheets>
    <sheet name="Sheet1" sheetId="1" r:id="rId1"/>
    <sheet name="Sheet2" sheetId="2" r:id="rId2"/>
  </sheets>
  <definedNames>
    <definedName name="testNamedRange" localSheetId="0">Sheet1!$C$37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 a="1"/>
  <c r="B47" i="1" s="1"/>
  <c r="B45" i="1" a="1"/>
  <c r="B45" i="1" s="1"/>
  <c r="B28" i="1" a="1"/>
  <c r="B27" i="1" a="1"/>
  <c r="B17" i="1" a="1"/>
  <c r="B22" i="1" a="1"/>
  <c r="B41" i="1" a="1"/>
  <c r="B39" i="1" a="1"/>
  <c r="B42" i="1" a="1"/>
  <c r="B32" i="1" a="1"/>
  <c r="B40" i="1" a="1"/>
  <c r="B34" i="1" a="1"/>
  <c r="B33" i="1" a="1"/>
  <c r="B35" i="1" a="1"/>
  <c r="B46" i="1" a="1"/>
  <c r="B23" i="1" a="1"/>
  <c r="B48" i="1" a="1"/>
  <c r="B37" i="1" a="1"/>
  <c r="B38" i="1" a="1"/>
  <c r="A43" i="1"/>
  <c r="B24" i="1" a="1"/>
  <c r="A39" i="1"/>
  <c r="A41" i="1"/>
  <c r="A44" i="1"/>
  <c r="A37" i="1"/>
  <c r="A46" i="1"/>
  <c r="A48" i="1"/>
  <c r="A47" i="1"/>
  <c r="A45" i="1"/>
  <c r="A42" i="1"/>
  <c r="A40" i="1"/>
  <c r="B38" i="1" l="1"/>
  <c r="B23" i="1"/>
  <c r="B48" i="1"/>
  <c r="B37" i="1"/>
  <c r="B28" i="1"/>
  <c r="B27" i="1"/>
  <c r="B17" i="1"/>
  <c r="B22" i="1"/>
  <c r="B24" i="1"/>
  <c r="B32" i="1"/>
  <c r="B46" i="1"/>
  <c r="B42" i="1"/>
  <c r="B43" i="1"/>
  <c r="B44" i="1"/>
  <c r="B33" i="1"/>
  <c r="B35" i="1"/>
  <c r="B34" i="1"/>
  <c r="B41" i="1"/>
  <c r="B40" i="1"/>
  <c r="B39" i="1"/>
  <c r="B12" i="1" a="1"/>
  <c r="B6" i="1" a="1"/>
  <c r="B10" i="1" a="1"/>
  <c r="B3" i="1" a="1"/>
  <c r="B4" i="1" a="1"/>
  <c r="B5" i="1" a="1"/>
  <c r="B9" i="1" a="1"/>
  <c r="B36" i="1" a="1"/>
  <c r="B15" i="1" a="1"/>
  <c r="B11" i="1" a="1"/>
  <c r="B13" i="1" a="1"/>
  <c r="B25" i="1" a="1"/>
  <c r="B26" i="1" a="1"/>
  <c r="B29" i="1" a="1"/>
  <c r="B21" i="1" a="1"/>
  <c r="B20" i="1" a="1"/>
  <c r="B14" i="1" a="1"/>
  <c r="B8" i="1" a="1"/>
  <c r="B16" i="1" a="1"/>
  <c r="B7" i="1" a="1"/>
  <c r="A19" i="1"/>
  <c r="B18" i="1" a="1"/>
  <c r="B21" i="1" l="1"/>
  <c r="B12" i="1"/>
  <c r="B36" i="1"/>
  <c r="B29" i="1"/>
  <c r="B26" i="1"/>
  <c r="B25" i="1"/>
  <c r="B20" i="1"/>
  <c r="B11" i="1"/>
  <c r="B18" i="1"/>
  <c r="B10" i="1"/>
  <c r="B9" i="1"/>
  <c r="B8" i="1"/>
  <c r="B16" i="1"/>
  <c r="B15" i="1"/>
  <c r="B14" i="1"/>
  <c r="B13" i="1"/>
  <c r="B7" i="1"/>
  <c r="B6" i="1"/>
  <c r="B5" i="1"/>
  <c r="B4" i="1"/>
  <c r="B3" i="1"/>
  <c r="B19" i="1"/>
  <c r="F29" i="1"/>
  <c r="F28" i="1"/>
  <c r="F27" i="1"/>
  <c r="F24" i="1"/>
  <c r="B30" i="1" a="1"/>
  <c r="B2" i="1" a="1"/>
  <c r="A2" i="1"/>
  <c r="A8" i="1"/>
  <c r="A9" i="1"/>
  <c r="A14" i="1"/>
  <c r="A7" i="1"/>
  <c r="A15" i="1"/>
  <c r="A30" i="1"/>
  <c r="A33" i="1"/>
  <c r="A31" i="1"/>
  <c r="A22" i="1"/>
  <c r="A21" i="1"/>
  <c r="A17" i="1"/>
  <c r="A29" i="1"/>
  <c r="A5" i="1"/>
  <c r="A23" i="1"/>
  <c r="A28" i="1"/>
  <c r="A4" i="1"/>
  <c r="A12" i="1"/>
  <c r="A10" i="1"/>
  <c r="A24" i="1"/>
  <c r="A36" i="1"/>
  <c r="A38" i="1"/>
  <c r="A18" i="1"/>
  <c r="A11" i="1"/>
  <c r="A13" i="1"/>
  <c r="A20" i="1"/>
  <c r="A26" i="1"/>
  <c r="A35" i="1"/>
  <c r="A25" i="1"/>
  <c r="A3" i="1"/>
  <c r="A32" i="1"/>
  <c r="A6" i="1"/>
  <c r="A34" i="1"/>
  <c r="A27" i="1"/>
  <c r="A16" i="1"/>
  <c r="B30" i="1" l="1"/>
  <c r="B31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<sst xmlns="http://schemas.openxmlformats.org/spreadsheetml/2006/main" count="8" uniqueCount="8">
  <si>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rc11</t>
  </si>
  <si>
    <t>rc12</t>
  </si>
  <si>
    <t>rc13</t>
  </si>
  <si>
    <t>rc21</t>
  </si>
  <si>
    <t>rc22</t>
  </si>
  <si>
    <t>rc23</t>
  </si>
  <si>
    <t>Formula</t>
  </si>
  <si>
    <t>UDF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</si>
</sst>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0" borderId="0" xfId="0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8"/>
  <sheetViews>
    <sheetView tabSelected="1" topLeftCell="A16" workbookViewId="0">
      <selection activeCell="B38" sqref="B38"/>
    </sheetView>
  </sheetViews>
  <sheetFormatPr defaultRowHeight="14.4" x14ac:dyDescent="0.55000000000000004"/>
  <cols>
    <col min="1" max="1" width="35.7890625" customWidth="1"/>
    <col min="2" max="2" width="28.734375" customWidth="1"/>
    <col min="3" max="3" width="20.05078125" customWidth="1"/>
    <col min="4" max="5" width="10.15625" bestFit="1" customWidth="1"/>
    <col min="9" max="9" width="15.3671875" bestFit="1" customWidth="1"/>
  </cols>
  <sheetData>
    <row r="1" spans="1:5" x14ac:dyDescent="0.55000000000000004">
      <c r="A1" s="6" t="s">
        <v>6</v>
      </c>
      <c r="B1" s="6" t="s">
        <v>7</v>
      </c>
    </row>
    <row r="2" spans="1:5" x14ac:dyDescent="0.55000000000000004">
      <c r="A2" t="str">
        <f ca="1">_xlfn.FORMULATEXT(B2)</f>
        <v>=TBXLL_Multiply(10,2)</v>
      </c>
      <c r="B2" cm="1">
        <f t="array" ref="B2">_xll.TBXLL_Multiply(10,2)</f>
        <v>20</v>
      </c>
    </row>
    <row r="3" spans="1:5" x14ac:dyDescent="0.55000000000000004">
      <c r="A3" t="str">
        <f t="shared" ref="A3:A19" ca="1" si="0">_xlfn.FORMULATEXT(B3)</f>
        <v>=TBXLL_Multiply("10","2")</v>
      </c>
      <c r="B3" cm="1">
        <f t="array" ref="B3">_xll.TBXLL_Multiply("10","2")</f>
        <v>20</v>
      </c>
    </row>
    <row r="4" spans="1:5" x14ac:dyDescent="0.55000000000000004">
      <c r="A4" t="str">
        <f t="shared" ca="1" si="0"/>
        <v>=TBXLL_Multiply(C4,D4)</v>
      </c>
      <c r="B4" cm="1">
        <f t="array" ref="B4">_xll.TBXLL_Multiply(C4,D4)</f>
        <v>20</v>
      </c>
      <c r="C4">
        <v>10</v>
      </c>
      <c r="D4">
        <v>2</v>
      </c>
    </row>
    <row r="5" spans="1:5" x14ac:dyDescent="0.55000000000000004">
      <c r="A5" t="str">
        <f t="shared" ca="1" si="0"/>
        <v>=TBXLL_AddOptional(1,2)</v>
      </c>
      <c r="B5" cm="1">
        <f t="array" ref="B5">_xll.TBXLL_AddOptional(1,2)</f>
        <v>3</v>
      </c>
    </row>
    <row r="6" spans="1:5" x14ac:dyDescent="0.55000000000000004">
      <c r="A6" t="str">
        <f t="shared" ca="1" si="0"/>
        <v>=TBXLL_AddOptional(1,2,3)</v>
      </c>
      <c r="B6" cm="1">
        <f t="array" ref="B6">_xll.TBXLL_AddOptional(1,2,3)</f>
        <v>6</v>
      </c>
    </row>
    <row r="7" spans="1:5" x14ac:dyDescent="0.55000000000000004">
      <c r="A7" t="str">
        <f t="shared" ca="1" si="0"/>
        <v>=TBXLL_AlwaysDiv0()</v>
      </c>
      <c r="B7" t="e" cm="1">
        <f t="array" ref="B7">_xll.TBXLL_AlwaysDiv0()</f>
        <v>#DIV/0!</v>
      </c>
    </row>
    <row r="8" spans="1:5" x14ac:dyDescent="0.55000000000000004">
      <c r="A8" t="str">
        <f ca="1">_xlfn.FORMULATEXT(B8)</f>
        <v>=TBXLL_Divide(10,0)</v>
      </c>
      <c r="B8" t="e" cm="1">
        <f t="array" ref="B8">_xll.TBXLL_Divide(10,0)</f>
        <v>#DIV/0!</v>
      </c>
    </row>
    <row r="9" spans="1:5" x14ac:dyDescent="0.55000000000000004">
      <c r="A9" t="str">
        <f ca="1">_xlfn.FORMULATEXT(B9)</f>
        <v>=TBXLL_FailAfterSum({1,2,3})</v>
      </c>
      <c r="B9" t="e" cm="1">
        <f t="array" ref="B9">_xll.TBXLL_FailAfterSum({1,2,3})</f>
        <v>#VALUE!</v>
      </c>
    </row>
    <row r="10" spans="1:5" x14ac:dyDescent="0.55000000000000004">
      <c r="A10" t="str">
        <f ca="1">_xlfn.FORMULATEXT(B10)</f>
        <v>=TBXLL_NotFound()</v>
      </c>
      <c r="B10" t="e" cm="1">
        <f t="array" ref="B10">_xll.TBXLL_NotFound()</f>
        <v>#N/A</v>
      </c>
    </row>
    <row r="11" spans="1:5" x14ac:dyDescent="0.55000000000000004">
      <c r="A11" t="str">
        <f ca="1">_xlfn.FORMULATEXT(B11)</f>
        <v>=TBXLL_SqrtChecked(-1)</v>
      </c>
      <c r="B11" t="e" cm="1">
        <f t="array" ref="B11">_xll.TBXLL_SqrtChecked(-1)</f>
        <v>#NUM!</v>
      </c>
    </row>
    <row r="12" spans="1:5" x14ac:dyDescent="0.55000000000000004">
      <c r="A12" t="str">
        <f ca="1">_xlfn.FORMULATEXT(B12)</f>
        <v>=TBXLL_TextOnly(25)</v>
      </c>
      <c r="B12" s="2" t="e" cm="1">
        <f t="array" ref="B12">_xll.TBXLL_TextOnly(25)</f>
        <v>#VALUE!</v>
      </c>
    </row>
    <row r="13" spans="1:5" x14ac:dyDescent="0.55000000000000004">
      <c r="A13" t="str">
        <f t="shared" ca="1" si="0"/>
        <v>=TBXLL_Average({1,2,3})</v>
      </c>
      <c r="B13" cm="1">
        <f t="array" ref="B13">_xll.TBXLL_Average({1,2,3})</f>
        <v>2</v>
      </c>
    </row>
    <row r="14" spans="1:5" x14ac:dyDescent="0.55000000000000004">
      <c r="A14" t="str">
        <f t="shared" ca="1" si="0"/>
        <v>=TBXLL_Average(C14:E14)</v>
      </c>
      <c r="B14" cm="1">
        <f t="array" ref="B14">_xll.TBXLL_Average(C14:E14)</f>
        <v>2</v>
      </c>
      <c r="C14">
        <v>1</v>
      </c>
      <c r="D14">
        <v>2</v>
      </c>
      <c r="E14">
        <v>3</v>
      </c>
    </row>
    <row r="15" spans="1:5" x14ac:dyDescent="0.55000000000000004">
      <c r="A15" t="str">
        <f t="shared" ca="1" si="0"/>
        <v>=TBXLL_ConditionalAdd(10,C15,"result")</v>
      </c>
      <c r="B15" t="str" cm="1">
        <f t="array" ref="B15">_xll.TBXLL_ConditionalAdd(10,C15,"result")</f>
        <v>result: 20</v>
      </c>
      <c r="C15" t="b">
        <v>1</v>
      </c>
    </row>
    <row r="16" spans="1:5" x14ac:dyDescent="0.55000000000000004">
      <c r="A16" t="str">
        <f t="shared" ca="1" si="0"/>
        <v>=TBXLL_ConditionalAdd(10,C16,"result")</v>
      </c>
      <c r="B16" t="str" cm="1">
        <f t="array" ref="B16">_xll.TBXLL_ConditionalAdd(10,C16,"result")</f>
        <v>result: 10</v>
      </c>
      <c r="C16" t="b">
        <v>0</v>
      </c>
    </row>
    <row r="17" spans="1:9" x14ac:dyDescent="0.55000000000000004">
      <c r="A17" t="str">
        <f t="shared" ca="1" si="0"/>
        <v>=TBXLL_CountIf(C17:E17,"&gt;=3")</v>
      </c>
      <c r="B17" cm="1">
        <f t="array" ref="B17">_xll.TBXLL_CountIf(C17:E17,"&gt;=3")</f>
        <v>2</v>
      </c>
      <c r="C17">
        <v>2</v>
      </c>
      <c r="D17">
        <v>3</v>
      </c>
      <c r="E17">
        <v>4</v>
      </c>
    </row>
    <row r="18" spans="1:9" x14ac:dyDescent="0.55000000000000004">
      <c r="A18" t="str">
        <f t="shared" ca="1" si="0"/>
        <v>=TBXLL_Now()</v>
      </c>
      <c r="B18" s="1" cm="1">
        <f t="array" aca="1" ref="B18" ca="1">_xll.TBXLL_Now()</f>
        <v>46076.646381944447</v>
      </c>
      <c r="C18" s="3"/>
      <c r="I18" s="1"/>
    </row>
    <row r="19" spans="1:9" x14ac:dyDescent="0.55000000000000004">
      <c r="A19" t="str">
        <f t="shared" ca="1" si="0"/>
        <v>=NOW()</v>
      </c>
      <c r="B19" s="1">
        <f ca="1">NOW()</f>
        <v>46076.646381944447</v>
      </c>
    </row>
    <row r="20" spans="1:9" x14ac:dyDescent="0.55000000000000004">
      <c r="A20" t="str">
        <f ca="1">_xlfn.FORMULATEXT(B20)</f>
        <v>=TBXLL_SqrtChecked(9)</v>
      </c>
      <c r="B20" cm="1">
        <f t="array" ref="B20">_xll.TBXLL_SqrtChecked(9)</f>
        <v>3</v>
      </c>
    </row>
    <row r="21" spans="1:9" x14ac:dyDescent="0.55000000000000004">
      <c r="A21" t="str">
        <f ca="1">_xlfn.FORMULATEXT(B21)</f>
        <v>=TBXLL_TextOnly("25")</v>
      </c>
      <c r="B21" s="2" t="str" cm="1">
        <f t="array" ref="B21">_xll.TBXLL_TextOnly("25")</f>
        <v>OK: 25</v>
      </c>
    </row>
    <row r="22" spans="1:9" x14ac:dyDescent="0.55000000000000004">
      <c r="A22" t="str">
        <f ca="1">_xlfn.FORMULATEXT(B22)</f>
        <v>=TBXLL_Transpose({1;2;3})</v>
      </c>
      <c r="B22" cm="1">
        <f t="array" ref="B22:D22">_xll.TBXLL_Transpose({1;2;3})</f>
        <v>1</v>
      </c>
      <c r="C22">
        <v>2</v>
      </c>
      <c r="D22">
        <v>3</v>
      </c>
    </row>
    <row r="23" spans="1:9" x14ac:dyDescent="0.55000000000000004">
      <c r="A23" t="str">
        <f t="shared" ref="A23:A36" ca="1" si="1">_xlfn.FORMULATEXT(B23)</f>
        <v>=TBXLL_Upper("mike")</v>
      </c>
      <c r="B23" t="str" cm="1">
        <f t="array" ref="B23">_xll.TBXLL_Upper("mike")</f>
        <v>MIKE</v>
      </c>
    </row>
    <row r="24" spans="1:9" x14ac:dyDescent="0.55000000000000004">
      <c r="A24" t="str">
        <f t="shared" ca="1" si="1"/>
        <v>=TBXLL_RecalcCounter()</v>
      </c>
      <c r="B24" cm="1">
        <f t="array" aca="1" ref="B24" ca="1">_xll.TBXLL_RecalcCounter()</f>
        <v>3</v>
      </c>
      <c r="D24">
        <v>1</v>
      </c>
      <c r="F24" t="str">
        <f>"1"</f>
        <v>1</v>
      </c>
    </row>
    <row r="25" spans="1:9" x14ac:dyDescent="0.55000000000000004">
      <c r="A25" t="str">
        <f t="shared" ca="1" si="1"/>
        <v>=TBXLL_SumArray({1,2,3})</v>
      </c>
      <c r="B25" cm="1">
        <f t="array" ref="B25">_xll.TBXLL_SumArray({1,2,3})</f>
        <v>6</v>
      </c>
    </row>
    <row r="26" spans="1:9" x14ac:dyDescent="0.55000000000000004">
      <c r="A26" t="str">
        <f t="shared" ca="1" si="1"/>
        <v>=TBXLL_SumArray(C26:E26)</v>
      </c>
      <c r="B26" cm="1">
        <f t="array" ref="B26">_xll.TBXLL_SumArray(C26:E26)</f>
        <v>6</v>
      </c>
      <c r="C26">
        <v>1</v>
      </c>
      <c r="D26">
        <v>2</v>
      </c>
      <c r="E26">
        <v>3</v>
      </c>
    </row>
    <row r="27" spans="1:9" x14ac:dyDescent="0.55000000000000004">
      <c r="A27" t="str">
        <f t="shared" ca="1" si="1"/>
        <v>=TBXLL_SumArray2({1,2,3})</v>
      </c>
      <c r="B27" cm="1">
        <f t="array" ref="B27">_xll.TBXLL_SumArray2({1,2,3})</f>
        <v>6</v>
      </c>
      <c r="D27">
        <v>2</v>
      </c>
      <c r="F27" t="str">
        <f>"2"</f>
        <v>2</v>
      </c>
      <c r="G27">
        <v>1</v>
      </c>
      <c r="H27">
        <v>2</v>
      </c>
      <c r="I27">
        <v>3</v>
      </c>
    </row>
    <row r="28" spans="1:9" x14ac:dyDescent="0.55000000000000004">
      <c r="A28" t="str">
        <f t="shared" ca="1" si="1"/>
        <v>=TBXLL_SumArray2(C26:E26)</v>
      </c>
      <c r="B28" cm="1">
        <f t="array" ref="B28">_xll.TBXLL_SumArray2(C26:E26)</f>
        <v>6</v>
      </c>
      <c r="D28">
        <v>3</v>
      </c>
      <c r="F28" t="str">
        <f>"3"</f>
        <v>3</v>
      </c>
      <c r="G28">
        <v>4</v>
      </c>
      <c r="H28">
        <v>5</v>
      </c>
      <c r="I28">
        <v>6</v>
      </c>
    </row>
    <row r="29" spans="1:9" x14ac:dyDescent="0.55000000000000004">
      <c r="A29" t="str">
        <f t="shared" ca="1" si="1"/>
        <v>=TBXLL_SumArray2(G27:I28)</v>
      </c>
      <c r="B29" cm="1">
        <f t="array" ref="B29">_xll.TBXLL_SumArray2(G27:I28)</f>
        <v>21</v>
      </c>
      <c r="D29">
        <v>4</v>
      </c>
      <c r="F29" t="str">
        <f>"4"</f>
        <v>4</v>
      </c>
    </row>
    <row r="30" spans="1:9" x14ac:dyDescent="0.55000000000000004">
      <c r="A30" t="str">
        <f t="shared" ca="1" si="1"/>
        <v>=TBXLL_SumArray2(F24:F29)</v>
      </c>
      <c r="B30" cm="1">
        <f t="array" ref="B30">_xll.TBXLL_SumArray2(F24:F29)</f>
        <v>0</v>
      </c>
    </row>
    <row r="31" spans="1:9" x14ac:dyDescent="0.55000000000000004">
      <c r="A31" t="str">
        <f t="shared" ca="1" si="1"/>
        <v>=SUM(F24:F29)</v>
      </c>
      <c r="B31">
        <f>SUM(F24:F29)</f>
        <v>0</v>
      </c>
    </row>
    <row r="32" spans="1:9" x14ac:dyDescent="0.55000000000000004">
      <c r="A32" t="str">
        <f t="shared" ca="1" si="1"/>
        <v>=TBXLL_Join(D32:F33,TRUE)</v>
      </c>
      <c r="B32" t="str" cm="1">
        <f t="array" ref="B32">_xll.TBXLL_Join(D32:F33,TRUE)</f>
        <v>rc11,rc21,rc12,rc22,rc13,rc23</v>
      </c>
      <c r="D32" t="s">
        <v>0</v>
      </c>
      <c r="E32" t="s">
        <v>1</v>
      </c>
      <c r="F32" t="s">
        <v>2</v>
      </c>
    </row>
    <row r="33" spans="1:6" x14ac:dyDescent="0.55000000000000004">
      <c r="A33" t="str">
        <f t="shared" ca="1" si="1"/>
        <v>=TBXLL_Join(D32:F33,FALSE)</v>
      </c>
      <c r="B33" t="str" cm="1">
        <f t="array" ref="B33">_xll.TBXLL_Join(D32:F33,FALSE)</f>
        <v>rc11,rc12,rc13,rc21,rc22,rc23</v>
      </c>
      <c r="D33" t="s">
        <v>3</v>
      </c>
      <c r="E33" t="s">
        <v>4</v>
      </c>
      <c r="F33" t="s">
        <v>5</v>
      </c>
    </row>
    <row r="34" spans="1:6" x14ac:dyDescent="0.55000000000000004">
      <c r="A34" t="str">
        <f t="shared" ca="1" si="1"/>
        <v>=TBXLL_Join({11,12,13;21,22,23},TRUE)</v>
      </c>
      <c r="B34" t="str" cm="1">
        <f t="array" ref="B34">_xll.TBXLL_Join({11,12,13;21,22,23},TRUE)</f>
        <v>11,21,12,22,13,23</v>
      </c>
    </row>
    <row r="35" spans="1:6" x14ac:dyDescent="0.55000000000000004">
      <c r="A35" t="str">
        <f t="shared" ca="1" si="1"/>
        <v>=TBXLL_Join({11,12,13;21,22,23},FALSE)</v>
      </c>
      <c r="B35" t="str" cm="1">
        <f t="array" ref="B35">_xll.TBXLL_Join({11,12,13;21,22,23},FALSE)</f>
        <v>11,12,13,21,22,23</v>
      </c>
    </row>
    <row r="36" spans="1:6" x14ac:dyDescent="0.55000000000000004">
      <c r="A36" t="str">
        <f t="shared" ca="1" si="1"/>
        <v>=TBXLL_Join({11,12,13;21,22,23})</v>
      </c>
      <c r="B36" t="str" cm="1">
        <f t="array" ref="B36">_xll.TBXLL_Join({11,12,13;21,22,23})</f>
        <v>11,12,13,21,22,23</v>
      </c>
    </row>
    <row r="37" spans="1:6" x14ac:dyDescent="0.55000000000000004">
      <c r="A37" t="str">
        <f t="shared" ref="A37:A44" ca="1" si="2">_xlfn.FORMULATEXT(B37)</f>
        <v>=TBXLL_CellValue(testNamedRange)</v>
      </c>
      <c r="B37" t="b" cm="1">
        <f t="array" ref="B37">_xll.TBXLL_CellValue(testNamedRange)</f>
        <v>1</v>
      </c>
      <c r="C37" t="b">
        <v>1</v>
      </c>
    </row>
    <row r="38" spans="1:6" x14ac:dyDescent="0.55000000000000004">
      <c r="A38" t="str">
        <f t="shared" ca="1" si="2"/>
        <v>=TBXLL_CellValue(C38)</v>
      </c>
      <c r="B38" cm="1">
        <f t="array" ref="B38">_xll.TBXLL_CellValue(C38)</f>
        <v>99</v>
      </c>
      <c r="C38">
        <v>99</v>
      </c>
    </row>
    <row r="39" spans="1:6" x14ac:dyDescent="0.55000000000000004">
      <c r="A39" t="str">
        <f t="shared" ca="1" si="2"/>
        <v>=TBXLL_SheetName(Sheet2!A1:D7)</v>
      </c>
      <c r="B39" t="str" cm="1">
        <f t="array" ref="B39">_xll.TBXLL_SheetName(Sheet2!A1:D7)</f>
        <v>[tests.xlsx]Sheet2</v>
      </c>
    </row>
    <row r="40" spans="1:6" x14ac:dyDescent="0.55000000000000004">
      <c r="A40" t="str">
        <f t="shared" ca="1" si="2"/>
        <v>=TBXLL_IsEmptyCell(C40)</v>
      </c>
      <c r="B40" t="b" cm="1">
        <f t="array" ref="B40">_xll.TBXLL_IsEmptyCell(C40)</f>
        <v>1</v>
      </c>
    </row>
    <row r="41" spans="1:6" x14ac:dyDescent="0.55000000000000004">
      <c r="A41" t="str">
        <f t="shared" ca="1" si="2"/>
        <v>=TBXLL_TestMissing(3.6)</v>
      </c>
      <c r="B41" cm="1">
        <f t="array" ref="B41">_xll.TBXLL_TestMissing(3.6)</f>
        <v>4</v>
      </c>
    </row>
    <row r="42" spans="1:6" x14ac:dyDescent="0.55000000000000004">
      <c r="A42" t="str">
        <f t="shared" ca="1" si="2"/>
        <v>{=TBXLL_MultiplyArrays(D42:D44,E42:E44)}</v>
      </c>
      <c r="B42">
        <f t="array" ref="B42:B44">_xll.TBXLL_MultiplyArrays(D42:D44,E42:E44)</f>
        <v>2</v>
      </c>
      <c r="D42">
        <v>1</v>
      </c>
      <c r="E42">
        <v>2</v>
      </c>
    </row>
    <row r="43" spans="1:6" x14ac:dyDescent="0.55000000000000004">
      <c r="A43" t="str">
        <f t="shared" ca="1" si="2"/>
        <v>{=TBXLL_MultiplyArrays(D42:D44,E42:E44)}</v>
      </c>
      <c r="B43">
        <v>20</v>
      </c>
      <c r="D43">
        <v>4</v>
      </c>
      <c r="E43">
        <v>5</v>
      </c>
    </row>
    <row r="44" spans="1:6" x14ac:dyDescent="0.55000000000000004">
      <c r="A44" t="str">
        <f t="shared" ca="1" si="2"/>
        <v>{=TBXLL_MultiplyArrays(D42:D44,E42:E44)}</v>
      </c>
      <c r="B44">
        <v>4</v>
      </c>
      <c r="D44">
        <v>2</v>
      </c>
      <c r="E44">
        <v>2</v>
      </c>
    </row>
    <row r="45" spans="1:6" x14ac:dyDescent="0.55000000000000004">
      <c r="A45" t="str">
        <f t="shared" ref="A45:A48" ca="1" si="3">_xlfn.FORMULATEXT(B45)</f>
        <v>=TBXLL_DynamicString()</v>
      </c>
      <c r="B45" s="5" t="str" cm="1">
        <f t="array" ref="B45">_xll.TBXLL_DynamicString()</f>
        <v>Hello from dynamic memory</v>
      </c>
    </row>
    <row r="46" spans="1:6" x14ac:dyDescent="0.55000000000000004">
      <c r="A46" t="str">
        <f t="shared" ca="1" si="3"/>
        <v>=TBXLL_NormalizeArray({4,9,16,25})</v>
      </c>
      <c r="B46" s="4" cm="1">
        <f t="array" ref="B46:E46">_xll.TBXLL_NormalizeArray({4,9,16,25})</f>
        <v>7.407407407407407E-2</v>
      </c>
      <c r="C46" s="4">
        <v>0.16666666666666666</v>
      </c>
      <c r="D46" s="4">
        <v>0.29629629629629628</v>
      </c>
      <c r="E46" s="4">
        <v>0.46296296296296297</v>
      </c>
    </row>
    <row r="47" spans="1:6" x14ac:dyDescent="0.55000000000000004">
      <c r="A47" t="str">
        <f t="shared" ca="1" si="3"/>
        <v>=TBXLL_SlowCalcSafe(100)</v>
      </c>
      <c r="B47" cm="1">
        <f t="array" ref="B47">_xll.TBXLL_SlowCalcSafe(100)</f>
        <v>66666716645.884483</v>
      </c>
    </row>
    <row r="48" spans="1:6" x14ac:dyDescent="0.55000000000000004">
      <c r="A48" t="str">
        <f t="shared" ca="1" si="3"/>
        <v>=TBXLL_SlowCalcUnsafe(100)</v>
      </c>
      <c r="B48" cm="1">
        <f t="array" ref="B48">_xll.TBXLL_SlowCalcUnsafe(100)</f>
        <v>66666716645.884483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0B4F-73CF-40AA-A410-9F05D920C8B1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Sheet1!testNamedRange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Waite</dc:creator>
  <cp:lastModifiedBy>Mike Waite</cp:lastModifiedBy>
  <dcterms:created xsi:type="dcterms:W3CDTF">2015-06-05T18:17:20Z</dcterms:created>
  <dcterms:modified xsi:type="dcterms:W3CDTF">2026-02-23T22:30:55Z</dcterms:modified>
</cp:coreProperties>
</file>